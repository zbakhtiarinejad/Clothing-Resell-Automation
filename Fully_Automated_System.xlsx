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ventory" sheetId="2" state="visible" r:id="rId2"/>
    <sheet name="Sales Log" sheetId="3" state="visible" r:id="rId3"/>
    <sheet name="Fees &amp; Postage Table" sheetId="4" state="visible" r:id="rId4"/>
    <sheet name="Suppliers &amp; COGS Tracking" sheetId="5" state="visible" r:id="rId5"/>
    <sheet name="SKU Generator" sheetId="6" state="visible" r:id="rId6"/>
    <sheet name="Category Performance" sheetId="7" state="visible" r:id="rId7"/>
    <sheet name="Sell Through Eng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F4E79"/>
      <sz val="16"/>
    </font>
    <font>
      <name val="Segoe UI"/>
      <color rgb="00595959"/>
      <sz val="9"/>
    </font>
    <font>
      <name val="Segoe UI"/>
      <b val="1"/>
      <color rgb="00000000"/>
      <sz val="18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4" customWidth="1" min="3" max="3"/>
    <col width="24" customWidth="1" min="4" max="4"/>
    <col width="14" customWidth="1" min="5" max="5"/>
    <col width="51" customWidth="1" min="6" max="6"/>
    <col width="14" customWidth="1" min="7" max="7"/>
    <col width="28" customWidth="1" min="8" max="8"/>
    <col width="14" customWidth="1" min="9" max="9"/>
    <col width="37" customWidth="1" min="10" max="10"/>
  </cols>
  <sheetData>
    <row r="1">
      <c r="A1" s="1" t="inlineStr">
        <is>
          <t>RESALE BUSINESS MANAGEMENT HUBS</t>
        </is>
      </c>
    </row>
    <row r="2"/>
    <row r="3">
      <c r="B3" s="2" t="inlineStr">
        <is>
          <t>TOTAL REVENUE</t>
        </is>
      </c>
      <c r="D3" s="2" t="inlineStr">
        <is>
          <t>NET PROFIT</t>
        </is>
      </c>
      <c r="F3" s="2" t="inlineStr">
        <is>
          <t>CASH TIED IN STOCK</t>
        </is>
      </c>
      <c r="H3" s="2" t="inlineStr">
        <is>
          <t>AVG DAYS TO SELL</t>
        </is>
      </c>
      <c r="J3" s="2" t="inlineStr">
        <is>
          <t>ACTIVE INVENTORY VALUE</t>
        </is>
      </c>
    </row>
    <row r="4">
      <c r="B4" s="3">
        <f>SUM('Sales Log'!B:B)</f>
        <v/>
      </c>
      <c r="D4" s="3">
        <f>SUM('Sales Log'!H:H)</f>
        <v/>
      </c>
      <c r="F4" s="3">
        <f>SUMIFS(Inventory!E:E, Inventory!G:G, "Active")</f>
        <v/>
      </c>
      <c r="H4" s="3">
        <f>AVERAGE('Sales Log'!I:I)</f>
        <v/>
      </c>
      <c r="J4" s="3">
        <f>COUNTIFS(Inventory!G:G, "Active")</f>
        <v/>
      </c>
    </row>
    <row r="5"/>
    <row r="6"/>
    <row r="7">
      <c r="B7" s="4" t="inlineStr">
        <is>
          <t>Top Performance Categories</t>
        </is>
      </c>
      <c r="F7" s="4" t="inlineStr">
        <is>
          <t>Supplier ROI Standings</t>
        </is>
      </c>
    </row>
    <row r="8">
      <c r="B8">
        <f>SORT('Category Performance'!A2:D20, 3, -1)</f>
        <v/>
      </c>
      <c r="F8">
        <f>SORT('Suppliers &amp; COGS Tracking'!A2:D20, 4, -1)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5" t="inlineStr">
        <is>
          <t>SKU</t>
        </is>
      </c>
      <c r="B1" s="5" t="inlineStr">
        <is>
          <t>Brand</t>
        </is>
      </c>
      <c r="C1" s="5" t="inlineStr">
        <is>
          <t>Category</t>
        </is>
      </c>
      <c r="D1" s="5" t="inlineStr">
        <is>
          <t>Size</t>
        </is>
      </c>
      <c r="E1" s="5" t="inlineStr">
        <is>
          <t>COGS</t>
        </is>
      </c>
      <c r="F1" s="5" t="inlineStr">
        <is>
          <t>Supplier</t>
        </is>
      </c>
      <c r="G1" s="5" t="inlineStr">
        <is>
          <t>Status</t>
        </is>
      </c>
      <c r="H1" s="5" t="inlineStr">
        <is>
          <t>Date Listed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75" customWidth="1" min="5" max="5"/>
    <col width="187" customWidth="1" min="6" max="6"/>
    <col width="101" customWidth="1" min="7" max="7"/>
    <col width="57" customWidth="1" min="8" max="8"/>
    <col width="89" customWidth="1" min="9" max="9"/>
  </cols>
  <sheetData>
    <row r="1" ht="26" customHeight="1">
      <c r="A1" s="5" t="inlineStr">
        <is>
          <t>SKU</t>
        </is>
      </c>
      <c r="B1" s="5" t="inlineStr">
        <is>
          <t>Sale Price</t>
        </is>
      </c>
      <c r="C1" s="5" t="inlineStr">
        <is>
          <t>Platform</t>
        </is>
      </c>
      <c r="D1" s="5" t="inlineStr">
        <is>
          <t>Date Sold</t>
        </is>
      </c>
      <c r="E1" s="5" t="inlineStr">
        <is>
          <t>COGS (Auto)</t>
        </is>
      </c>
      <c r="F1" s="5" t="inlineStr">
        <is>
          <t>Platform Fee (Auto)</t>
        </is>
      </c>
      <c r="G1" s="5" t="inlineStr">
        <is>
          <t>Postage (Auto)</t>
        </is>
      </c>
      <c r="H1" s="5" t="inlineStr">
        <is>
          <t>Net Profit (Auto)</t>
        </is>
      </c>
      <c r="I1" s="5" t="inlineStr">
        <is>
          <t>Days to Sell (Auto)</t>
        </is>
      </c>
    </row>
    <row r="2">
      <c r="E2">
        <f>IF(ISBLANK(A2), "", XLOOKUP(A2, Inventory!A:A, Inventory!E:E, 0))</f>
        <v/>
      </c>
      <c r="F2">
        <f>IF(ISBLANK(A2), "", (B2 * XLOOKUP(C2, 'Fees &amp; Postage Table'!A:A, 'Fees &amp; Postage Table'!C:C, 0)) + XLOOKUP(C2, 'Fees &amp; Postage Table'!A:A, 'Fees &amp; Postage Table'!B:B, 0))</f>
        <v/>
      </c>
      <c r="G2">
        <f>IF(ISBLANK(A2), "", XLOOKUP(C2, 'Fees &amp; Postage Table'!A:A, 'Fees &amp; Postage Table'!D:D, 0))</f>
        <v/>
      </c>
      <c r="H2">
        <f>IF(ISBLANK(A2), "", B2 - E2 - F2 - G2)</f>
        <v/>
      </c>
      <c r="I2">
        <f>IF(ISBLANK(A2), "", D2 - XLOOKUP(A2, Inventory!A:A, Inventory!H:H, TODAY()))</f>
        <v/>
      </c>
    </row>
    <row r="3">
      <c r="E3">
        <f>IF(ISBLANK(A3), "", XLOOKUP(A3, Inventory!A:A, Inventory!E:E, 0))</f>
        <v/>
      </c>
      <c r="F3">
        <f>IF(ISBLANK(A3), "", (B3 * XLOOKUP(C3, 'Fees &amp; Postage Table'!A:A, 'Fees &amp; Postage Table'!C:C, 0)) + XLOOKUP(C3, 'Fees &amp; Postage Table'!A:A, 'Fees &amp; Postage Table'!B:B, 0))</f>
        <v/>
      </c>
      <c r="G3">
        <f>IF(ISBLANK(A3), "", XLOOKUP(C3, 'Fees &amp; Postage Table'!A:A, 'Fees &amp; Postage Table'!D:D, 0))</f>
        <v/>
      </c>
      <c r="H3">
        <f>IF(ISBLANK(A3), "", B3 - E3 - F3 - G3)</f>
        <v/>
      </c>
      <c r="I3">
        <f>IF(ISBLANK(A3), "", D3 - XLOOKUP(A3, Inventory!A:A, Inventory!H:H, TODAY()))</f>
        <v/>
      </c>
    </row>
    <row r="4">
      <c r="E4">
        <f>IF(ISBLANK(A4), "", XLOOKUP(A4, Inventory!A:A, Inventory!E:E, 0))</f>
        <v/>
      </c>
      <c r="F4">
        <f>IF(ISBLANK(A4), "", (B4 * XLOOKUP(C4, 'Fees &amp; Postage Table'!A:A, 'Fees &amp; Postage Table'!C:C, 0)) + XLOOKUP(C4, 'Fees &amp; Postage Table'!A:A, 'Fees &amp; Postage Table'!B:B, 0))</f>
        <v/>
      </c>
      <c r="G4">
        <f>IF(ISBLANK(A4), "", XLOOKUP(C4, 'Fees &amp; Postage Table'!A:A, 'Fees &amp; Postage Table'!D:D, 0))</f>
        <v/>
      </c>
      <c r="H4">
        <f>IF(ISBLANK(A4), "", B4 - E4 - F4 - G4)</f>
        <v/>
      </c>
      <c r="I4">
        <f>IF(ISBLANK(A4), "", D4 - XLOOKUP(A4, Inventory!A:A, Inventory!H:H, TODAY()))</f>
        <v/>
      </c>
    </row>
    <row r="5">
      <c r="E5">
        <f>IF(ISBLANK(A5), "", XLOOKUP(A5, Inventory!A:A, Inventory!E:E, 0))</f>
        <v/>
      </c>
      <c r="F5">
        <f>IF(ISBLANK(A5), "", (B5 * XLOOKUP(C5, 'Fees &amp; Postage Table'!A:A, 'Fees &amp; Postage Table'!C:C, 0)) + XLOOKUP(C5, 'Fees &amp; Postage Table'!A:A, 'Fees &amp; Postage Table'!B:B, 0))</f>
        <v/>
      </c>
      <c r="G5">
        <f>IF(ISBLANK(A5), "", XLOOKUP(C5, 'Fees &amp; Postage Table'!A:A, 'Fees &amp; Postage Table'!D:D, 0))</f>
        <v/>
      </c>
      <c r="H5">
        <f>IF(ISBLANK(A5), "", B5 - E5 - F5 - G5)</f>
        <v/>
      </c>
      <c r="I5">
        <f>IF(ISBLANK(A5), "", D5 - XLOOKUP(A5, Inventory!A:A, Inventory!H:H, TODAY()))</f>
        <v/>
      </c>
    </row>
    <row r="6">
      <c r="E6">
        <f>IF(ISBLANK(A6), "", XLOOKUP(A6, Inventory!A:A, Inventory!E:E, 0))</f>
        <v/>
      </c>
      <c r="F6">
        <f>IF(ISBLANK(A6), "", (B6 * XLOOKUP(C6, 'Fees &amp; Postage Table'!A:A, 'Fees &amp; Postage Table'!C:C, 0)) + XLOOKUP(C6, 'Fees &amp; Postage Table'!A:A, 'Fees &amp; Postage Table'!B:B, 0))</f>
        <v/>
      </c>
      <c r="G6">
        <f>IF(ISBLANK(A6), "", XLOOKUP(C6, 'Fees &amp; Postage Table'!A:A, 'Fees &amp; Postage Table'!D:D, 0))</f>
        <v/>
      </c>
      <c r="H6">
        <f>IF(ISBLANK(A6), "", B6 - E6 - F6 - G6)</f>
        <v/>
      </c>
      <c r="I6">
        <f>IF(ISBLANK(A6), "", D6 - XLOOKUP(A6, Inventory!A:A, Inventory!H:H, TODAY()))</f>
        <v/>
      </c>
    </row>
    <row r="7">
      <c r="E7">
        <f>IF(ISBLANK(A7), "", XLOOKUP(A7, Inventory!A:A, Inventory!E:E, 0))</f>
        <v/>
      </c>
      <c r="F7">
        <f>IF(ISBLANK(A7), "", (B7 * XLOOKUP(C7, 'Fees &amp; Postage Table'!A:A, 'Fees &amp; Postage Table'!C:C, 0)) + XLOOKUP(C7, 'Fees &amp; Postage Table'!A:A, 'Fees &amp; Postage Table'!B:B, 0))</f>
        <v/>
      </c>
      <c r="G7">
        <f>IF(ISBLANK(A7), "", XLOOKUP(C7, 'Fees &amp; Postage Table'!A:A, 'Fees &amp; Postage Table'!D:D, 0))</f>
        <v/>
      </c>
      <c r="H7">
        <f>IF(ISBLANK(A7), "", B7 - E7 - F7 - G7)</f>
        <v/>
      </c>
      <c r="I7">
        <f>IF(ISBLANK(A7), "", D7 - XLOOKUP(A7, Inventory!A:A, Inventory!H:H, TODAY()))</f>
        <v/>
      </c>
    </row>
    <row r="8">
      <c r="E8">
        <f>IF(ISBLANK(A8), "", XLOOKUP(A8, Inventory!A:A, Inventory!E:E, 0))</f>
        <v/>
      </c>
      <c r="F8">
        <f>IF(ISBLANK(A8), "", (B8 * XLOOKUP(C8, 'Fees &amp; Postage Table'!A:A, 'Fees &amp; Postage Table'!C:C, 0)) + XLOOKUP(C8, 'Fees &amp; Postage Table'!A:A, 'Fees &amp; Postage Table'!B:B, 0))</f>
        <v/>
      </c>
      <c r="G8">
        <f>IF(ISBLANK(A8), "", XLOOKUP(C8, 'Fees &amp; Postage Table'!A:A, 'Fees &amp; Postage Table'!D:D, 0))</f>
        <v/>
      </c>
      <c r="H8">
        <f>IF(ISBLANK(A8), "", B8 - E8 - F8 - G8)</f>
        <v/>
      </c>
      <c r="I8">
        <f>IF(ISBLANK(A8), "", D8 - XLOOKUP(A8, Inventory!A:A, Inventory!H:H, TODAY()))</f>
        <v/>
      </c>
    </row>
    <row r="9">
      <c r="E9">
        <f>IF(ISBLANK(A9), "", XLOOKUP(A9, Inventory!A:A, Inventory!E:E, 0))</f>
        <v/>
      </c>
      <c r="F9">
        <f>IF(ISBLANK(A9), "", (B9 * XLOOKUP(C9, 'Fees &amp; Postage Table'!A:A, 'Fees &amp; Postage Table'!C:C, 0)) + XLOOKUP(C9, 'Fees &amp; Postage Table'!A:A, 'Fees &amp; Postage Table'!B:B, 0))</f>
        <v/>
      </c>
      <c r="G9">
        <f>IF(ISBLANK(A9), "", XLOOKUP(C9, 'Fees &amp; Postage Table'!A:A, 'Fees &amp; Postage Table'!D:D, 0))</f>
        <v/>
      </c>
      <c r="H9">
        <f>IF(ISBLANK(A9), "", B9 - E9 - F9 - G9)</f>
        <v/>
      </c>
      <c r="I9">
        <f>IF(ISBLANK(A9), "", D9 - XLOOKUP(A9, Inventory!A:A, Inventory!H:H, TODAY()))</f>
        <v/>
      </c>
    </row>
    <row r="10">
      <c r="E10">
        <f>IF(ISBLANK(A10), "", XLOOKUP(A10, Inventory!A:A, Inventory!E:E, 0))</f>
        <v/>
      </c>
      <c r="F10">
        <f>IF(ISBLANK(A10), "", (B10 * XLOOKUP(C10, 'Fees &amp; Postage Table'!A:A, 'Fees &amp; Postage Table'!C:C, 0)) + XLOOKUP(C10, 'Fees &amp; Postage Table'!A:A, 'Fees &amp; Postage Table'!B:B, 0))</f>
        <v/>
      </c>
      <c r="G10">
        <f>IF(ISBLANK(A10), "", XLOOKUP(C10, 'Fees &amp; Postage Table'!A:A, 'Fees &amp; Postage Table'!D:D, 0))</f>
        <v/>
      </c>
      <c r="H10">
        <f>IF(ISBLANK(A10), "", B10 - E10 - F10 - G10)</f>
        <v/>
      </c>
      <c r="I10">
        <f>IF(ISBLANK(A10), "", D10 - XLOOKUP(A10, Inventory!A:A, Inventory!H:H, TODAY()))</f>
        <v/>
      </c>
    </row>
    <row r="11">
      <c r="E11">
        <f>IF(ISBLANK(A11), "", XLOOKUP(A11, Inventory!A:A, Inventory!E:E, 0))</f>
        <v/>
      </c>
      <c r="F11">
        <f>IF(ISBLANK(A11), "", (B11 * XLOOKUP(C11, 'Fees &amp; Postage Table'!A:A, 'Fees &amp; Postage Table'!C:C, 0)) + XLOOKUP(C11, 'Fees &amp; Postage Table'!A:A, 'Fees &amp; Postage Table'!B:B, 0))</f>
        <v/>
      </c>
      <c r="G11">
        <f>IF(ISBLANK(A11), "", XLOOKUP(C11, 'Fees &amp; Postage Table'!A:A, 'Fees &amp; Postage Table'!D:D, 0))</f>
        <v/>
      </c>
      <c r="H11">
        <f>IF(ISBLANK(A11), "", B11 - E11 - F11 - G11)</f>
        <v/>
      </c>
      <c r="I11">
        <f>IF(ISBLANK(A11), "", D11 - XLOOKUP(A11, Inventory!A:A, Inventory!H:H, TODAY()))</f>
        <v/>
      </c>
    </row>
    <row r="12">
      <c r="E12">
        <f>IF(ISBLANK(A12), "", XLOOKUP(A12, Inventory!A:A, Inventory!E:E, 0))</f>
        <v/>
      </c>
      <c r="F12">
        <f>IF(ISBLANK(A12), "", (B12 * XLOOKUP(C12, 'Fees &amp; Postage Table'!A:A, 'Fees &amp; Postage Table'!C:C, 0)) + XLOOKUP(C12, 'Fees &amp; Postage Table'!A:A, 'Fees &amp; Postage Table'!B:B, 0))</f>
        <v/>
      </c>
      <c r="G12">
        <f>IF(ISBLANK(A12), "", XLOOKUP(C12, 'Fees &amp; Postage Table'!A:A, 'Fees &amp; Postage Table'!D:D, 0))</f>
        <v/>
      </c>
      <c r="H12">
        <f>IF(ISBLANK(A12), "", B12 - E12 - F12 - G12)</f>
        <v/>
      </c>
      <c r="I12">
        <f>IF(ISBLANK(A12), "", D12 - XLOOKUP(A12, Inventory!A:A, Inventory!H:H, TODAY()))</f>
        <v/>
      </c>
    </row>
    <row r="13">
      <c r="E13">
        <f>IF(ISBLANK(A13), "", XLOOKUP(A13, Inventory!A:A, Inventory!E:E, 0))</f>
        <v/>
      </c>
      <c r="F13">
        <f>IF(ISBLANK(A13), "", (B13 * XLOOKUP(C13, 'Fees &amp; Postage Table'!A:A, 'Fees &amp; Postage Table'!C:C, 0)) + XLOOKUP(C13, 'Fees &amp; Postage Table'!A:A, 'Fees &amp; Postage Table'!B:B, 0))</f>
        <v/>
      </c>
      <c r="G13">
        <f>IF(ISBLANK(A13), "", XLOOKUP(C13, 'Fees &amp; Postage Table'!A:A, 'Fees &amp; Postage Table'!D:D, 0))</f>
        <v/>
      </c>
      <c r="H13">
        <f>IF(ISBLANK(A13), "", B13 - E13 - F13 - G13)</f>
        <v/>
      </c>
      <c r="I13">
        <f>IF(ISBLANK(A13), "", D13 - XLOOKUP(A13, Inventory!A:A, Inventory!H:H, TODAY()))</f>
        <v/>
      </c>
    </row>
    <row r="14">
      <c r="E14">
        <f>IF(ISBLANK(A14), "", XLOOKUP(A14, Inventory!A:A, Inventory!E:E, 0))</f>
        <v/>
      </c>
      <c r="F14">
        <f>IF(ISBLANK(A14), "", (B14 * XLOOKUP(C14, 'Fees &amp; Postage Table'!A:A, 'Fees &amp; Postage Table'!C:C, 0)) + XLOOKUP(C14, 'Fees &amp; Postage Table'!A:A, 'Fees &amp; Postage Table'!B:B, 0))</f>
        <v/>
      </c>
      <c r="G14">
        <f>IF(ISBLANK(A14), "", XLOOKUP(C14, 'Fees &amp; Postage Table'!A:A, 'Fees &amp; Postage Table'!D:D, 0))</f>
        <v/>
      </c>
      <c r="H14">
        <f>IF(ISBLANK(A14), "", B14 - E14 - F14 - G14)</f>
        <v/>
      </c>
      <c r="I14">
        <f>IF(ISBLANK(A14), "", D14 - XLOOKUP(A14, Inventory!A:A, Inventory!H:H, TODAY()))</f>
        <v/>
      </c>
    </row>
    <row r="15">
      <c r="E15">
        <f>IF(ISBLANK(A15), "", XLOOKUP(A15, Inventory!A:A, Inventory!E:E, 0))</f>
        <v/>
      </c>
      <c r="F15">
        <f>IF(ISBLANK(A15), "", (B15 * XLOOKUP(C15, 'Fees &amp; Postage Table'!A:A, 'Fees &amp; Postage Table'!C:C, 0)) + XLOOKUP(C15, 'Fees &amp; Postage Table'!A:A, 'Fees &amp; Postage Table'!B:B, 0))</f>
        <v/>
      </c>
      <c r="G15">
        <f>IF(ISBLANK(A15), "", XLOOKUP(C15, 'Fees &amp; Postage Table'!A:A, 'Fees &amp; Postage Table'!D:D, 0))</f>
        <v/>
      </c>
      <c r="H15">
        <f>IF(ISBLANK(A15), "", B15 - E15 - F15 - G15)</f>
        <v/>
      </c>
      <c r="I15">
        <f>IF(ISBLANK(A15), "", D15 - XLOOKUP(A15, Inventory!A:A, Inventory!H:H, TODAY()))</f>
        <v/>
      </c>
    </row>
    <row r="16">
      <c r="E16">
        <f>IF(ISBLANK(A16), "", XLOOKUP(A16, Inventory!A:A, Inventory!E:E, 0))</f>
        <v/>
      </c>
      <c r="F16">
        <f>IF(ISBLANK(A16), "", (B16 * XLOOKUP(C16, 'Fees &amp; Postage Table'!A:A, 'Fees &amp; Postage Table'!C:C, 0)) + XLOOKUP(C16, 'Fees &amp; Postage Table'!A:A, 'Fees &amp; Postage Table'!B:B, 0))</f>
        <v/>
      </c>
      <c r="G16">
        <f>IF(ISBLANK(A16), "", XLOOKUP(C16, 'Fees &amp; Postage Table'!A:A, 'Fees &amp; Postage Table'!D:D, 0))</f>
        <v/>
      </c>
      <c r="H16">
        <f>IF(ISBLANK(A16), "", B16 - E16 - F16 - G16)</f>
        <v/>
      </c>
      <c r="I16">
        <f>IF(ISBLANK(A16), "", D16 - XLOOKUP(A16, Inventory!A:A, Inventory!H:H, TODAY()))</f>
        <v/>
      </c>
    </row>
    <row r="17">
      <c r="E17">
        <f>IF(ISBLANK(A17), "", XLOOKUP(A17, Inventory!A:A, Inventory!E:E, 0))</f>
        <v/>
      </c>
      <c r="F17">
        <f>IF(ISBLANK(A17), "", (B17 * XLOOKUP(C17, 'Fees &amp; Postage Table'!A:A, 'Fees &amp; Postage Table'!C:C, 0)) + XLOOKUP(C17, 'Fees &amp; Postage Table'!A:A, 'Fees &amp; Postage Table'!B:B, 0))</f>
        <v/>
      </c>
      <c r="G17">
        <f>IF(ISBLANK(A17), "", XLOOKUP(C17, 'Fees &amp; Postage Table'!A:A, 'Fees &amp; Postage Table'!D:D, 0))</f>
        <v/>
      </c>
      <c r="H17">
        <f>IF(ISBLANK(A17), "", B17 - E17 - F17 - G17)</f>
        <v/>
      </c>
      <c r="I17">
        <f>IF(ISBLANK(A17), "", D17 - XLOOKUP(A17, Inventory!A:A, Inventory!H:H, TODAY()))</f>
        <v/>
      </c>
    </row>
    <row r="18">
      <c r="E18">
        <f>IF(ISBLANK(A18), "", XLOOKUP(A18, Inventory!A:A, Inventory!E:E, 0))</f>
        <v/>
      </c>
      <c r="F18">
        <f>IF(ISBLANK(A18), "", (B18 * XLOOKUP(C18, 'Fees &amp; Postage Table'!A:A, 'Fees &amp; Postage Table'!C:C, 0)) + XLOOKUP(C18, 'Fees &amp; Postage Table'!A:A, 'Fees &amp; Postage Table'!B:B, 0))</f>
        <v/>
      </c>
      <c r="G18">
        <f>IF(ISBLANK(A18), "", XLOOKUP(C18, 'Fees &amp; Postage Table'!A:A, 'Fees &amp; Postage Table'!D:D, 0))</f>
        <v/>
      </c>
      <c r="H18">
        <f>IF(ISBLANK(A18), "", B18 - E18 - F18 - G18)</f>
        <v/>
      </c>
      <c r="I18">
        <f>IF(ISBLANK(A18), "", D18 - XLOOKUP(A18, Inventory!A:A, Inventory!H:H, TODAY()))</f>
        <v/>
      </c>
    </row>
    <row r="19">
      <c r="E19">
        <f>IF(ISBLANK(A19), "", XLOOKUP(A19, Inventory!A:A, Inventory!E:E, 0))</f>
        <v/>
      </c>
      <c r="F19">
        <f>IF(ISBLANK(A19), "", (B19 * XLOOKUP(C19, 'Fees &amp; Postage Table'!A:A, 'Fees &amp; Postage Table'!C:C, 0)) + XLOOKUP(C19, 'Fees &amp; Postage Table'!A:A, 'Fees &amp; Postage Table'!B:B, 0))</f>
        <v/>
      </c>
      <c r="G19">
        <f>IF(ISBLANK(A19), "", XLOOKUP(C19, 'Fees &amp; Postage Table'!A:A, 'Fees &amp; Postage Table'!D:D, 0))</f>
        <v/>
      </c>
      <c r="H19">
        <f>IF(ISBLANK(A19), "", B19 - E19 - F19 - G19)</f>
        <v/>
      </c>
      <c r="I19">
        <f>IF(ISBLANK(A19), "", D19 - XLOOKUP(A19, Inventory!A:A, Inventory!H:H, TODAY()))</f>
        <v/>
      </c>
    </row>
    <row r="20">
      <c r="E20">
        <f>IF(ISBLANK(A20), "", XLOOKUP(A20, Inventory!A:A, Inventory!E:E, 0))</f>
        <v/>
      </c>
      <c r="F20">
        <f>IF(ISBLANK(A20), "", (B20 * XLOOKUP(C20, 'Fees &amp; Postage Table'!A:A, 'Fees &amp; Postage Table'!C:C, 0)) + XLOOKUP(C20, 'Fees &amp; Postage Table'!A:A, 'Fees &amp; Postage Table'!B:B, 0))</f>
        <v/>
      </c>
      <c r="G20">
        <f>IF(ISBLANK(A20), "", XLOOKUP(C20, 'Fees &amp; Postage Table'!A:A, 'Fees &amp; Postage Table'!D:D, 0))</f>
        <v/>
      </c>
      <c r="H20">
        <f>IF(ISBLANK(A20), "", B20 - E20 - F20 - G20)</f>
        <v/>
      </c>
      <c r="I20">
        <f>IF(ISBLANK(A20), "", D20 - XLOOKUP(A20, Inventory!A:A, Inventory!H:H, TODAY()))</f>
        <v/>
      </c>
    </row>
    <row r="21">
      <c r="E21">
        <f>IF(ISBLANK(A21), "", XLOOKUP(A21, Inventory!A:A, Inventory!E:E, 0))</f>
        <v/>
      </c>
      <c r="F21">
        <f>IF(ISBLANK(A21), "", (B21 * XLOOKUP(C21, 'Fees &amp; Postage Table'!A:A, 'Fees &amp; Postage Table'!C:C, 0)) + XLOOKUP(C21, 'Fees &amp; Postage Table'!A:A, 'Fees &amp; Postage Table'!B:B, 0))</f>
        <v/>
      </c>
      <c r="G21">
        <f>IF(ISBLANK(A21), "", XLOOKUP(C21, 'Fees &amp; Postage Table'!A:A, 'Fees &amp; Postage Table'!D:D, 0))</f>
        <v/>
      </c>
      <c r="H21">
        <f>IF(ISBLANK(A21), "", B21 - E21 - F21 - G21)</f>
        <v/>
      </c>
      <c r="I21">
        <f>IF(ISBLANK(A21), "", D21 - XLOOKUP(A21, Inventory!A:A, Inventory!H:H, TODAY()))</f>
        <v/>
      </c>
    </row>
    <row r="22">
      <c r="E22">
        <f>IF(ISBLANK(A22), "", XLOOKUP(A22, Inventory!A:A, Inventory!E:E, 0))</f>
        <v/>
      </c>
      <c r="F22">
        <f>IF(ISBLANK(A22), "", (B22 * XLOOKUP(C22, 'Fees &amp; Postage Table'!A:A, 'Fees &amp; Postage Table'!C:C, 0)) + XLOOKUP(C22, 'Fees &amp; Postage Table'!A:A, 'Fees &amp; Postage Table'!B:B, 0))</f>
        <v/>
      </c>
      <c r="G22">
        <f>IF(ISBLANK(A22), "", XLOOKUP(C22, 'Fees &amp; Postage Table'!A:A, 'Fees &amp; Postage Table'!D:D, 0))</f>
        <v/>
      </c>
      <c r="H22">
        <f>IF(ISBLANK(A22), "", B22 - E22 - F22 - G22)</f>
        <v/>
      </c>
      <c r="I22">
        <f>IF(ISBLANK(A22), "", D22 - XLOOKUP(A22, Inventory!A:A, Inventory!H:H, TODAY()))</f>
        <v/>
      </c>
    </row>
    <row r="23">
      <c r="E23">
        <f>IF(ISBLANK(A23), "", XLOOKUP(A23, Inventory!A:A, Inventory!E:E, 0))</f>
        <v/>
      </c>
      <c r="F23">
        <f>IF(ISBLANK(A23), "", (B23 * XLOOKUP(C23, 'Fees &amp; Postage Table'!A:A, 'Fees &amp; Postage Table'!C:C, 0)) + XLOOKUP(C23, 'Fees &amp; Postage Table'!A:A, 'Fees &amp; Postage Table'!B:B, 0))</f>
        <v/>
      </c>
      <c r="G23">
        <f>IF(ISBLANK(A23), "", XLOOKUP(C23, 'Fees &amp; Postage Table'!A:A, 'Fees &amp; Postage Table'!D:D, 0))</f>
        <v/>
      </c>
      <c r="H23">
        <f>IF(ISBLANK(A23), "", B23 - E23 - F23 - G23)</f>
        <v/>
      </c>
      <c r="I23">
        <f>IF(ISBLANK(A23), "", D23 - XLOOKUP(A23, Inventory!A:A, Inventory!H:H, TODAY()))</f>
        <v/>
      </c>
    </row>
    <row r="24">
      <c r="E24">
        <f>IF(ISBLANK(A24), "", XLOOKUP(A24, Inventory!A:A, Inventory!E:E, 0))</f>
        <v/>
      </c>
      <c r="F24">
        <f>IF(ISBLANK(A24), "", (B24 * XLOOKUP(C24, 'Fees &amp; Postage Table'!A:A, 'Fees &amp; Postage Table'!C:C, 0)) + XLOOKUP(C24, 'Fees &amp; Postage Table'!A:A, 'Fees &amp; Postage Table'!B:B, 0))</f>
        <v/>
      </c>
      <c r="G24">
        <f>IF(ISBLANK(A24), "", XLOOKUP(C24, 'Fees &amp; Postage Table'!A:A, 'Fees &amp; Postage Table'!D:D, 0))</f>
        <v/>
      </c>
      <c r="H24">
        <f>IF(ISBLANK(A24), "", B24 - E24 - F24 - G24)</f>
        <v/>
      </c>
      <c r="I24">
        <f>IF(ISBLANK(A24), "", D24 - XLOOKUP(A24, Inventory!A:A, Inventory!H:H, TODAY()))</f>
        <v/>
      </c>
    </row>
    <row r="25">
      <c r="E25">
        <f>IF(ISBLANK(A25), "", XLOOKUP(A25, Inventory!A:A, Inventory!E:E, 0))</f>
        <v/>
      </c>
      <c r="F25">
        <f>IF(ISBLANK(A25), "", (B25 * XLOOKUP(C25, 'Fees &amp; Postage Table'!A:A, 'Fees &amp; Postage Table'!C:C, 0)) + XLOOKUP(C25, 'Fees &amp; Postage Table'!A:A, 'Fees &amp; Postage Table'!B:B, 0))</f>
        <v/>
      </c>
      <c r="G25">
        <f>IF(ISBLANK(A25), "", XLOOKUP(C25, 'Fees &amp; Postage Table'!A:A, 'Fees &amp; Postage Table'!D:D, 0))</f>
        <v/>
      </c>
      <c r="H25">
        <f>IF(ISBLANK(A25), "", B25 - E25 - F25 - G25)</f>
        <v/>
      </c>
      <c r="I25">
        <f>IF(ISBLANK(A25), "", D25 - XLOOKUP(A25, Inventory!A:A, Inventory!H:H, TODAY()))</f>
        <v/>
      </c>
    </row>
    <row r="26">
      <c r="E26">
        <f>IF(ISBLANK(A26), "", XLOOKUP(A26, Inventory!A:A, Inventory!E:E, 0))</f>
        <v/>
      </c>
      <c r="F26">
        <f>IF(ISBLANK(A26), "", (B26 * XLOOKUP(C26, 'Fees &amp; Postage Table'!A:A, 'Fees &amp; Postage Table'!C:C, 0)) + XLOOKUP(C26, 'Fees &amp; Postage Table'!A:A, 'Fees &amp; Postage Table'!B:B, 0))</f>
        <v/>
      </c>
      <c r="G26">
        <f>IF(ISBLANK(A26), "", XLOOKUP(C26, 'Fees &amp; Postage Table'!A:A, 'Fees &amp; Postage Table'!D:D, 0))</f>
        <v/>
      </c>
      <c r="H26">
        <f>IF(ISBLANK(A26), "", B26 - E26 - F26 - G26)</f>
        <v/>
      </c>
      <c r="I26">
        <f>IF(ISBLANK(A26), "", D26 - XLOOKUP(A26, Inventory!A:A, Inventory!H:H, TODAY()))</f>
        <v/>
      </c>
    </row>
    <row r="27">
      <c r="E27">
        <f>IF(ISBLANK(A27), "", XLOOKUP(A27, Inventory!A:A, Inventory!E:E, 0))</f>
        <v/>
      </c>
      <c r="F27">
        <f>IF(ISBLANK(A27), "", (B27 * XLOOKUP(C27, 'Fees &amp; Postage Table'!A:A, 'Fees &amp; Postage Table'!C:C, 0)) + XLOOKUP(C27, 'Fees &amp; Postage Table'!A:A, 'Fees &amp; Postage Table'!B:B, 0))</f>
        <v/>
      </c>
      <c r="G27">
        <f>IF(ISBLANK(A27), "", XLOOKUP(C27, 'Fees &amp; Postage Table'!A:A, 'Fees &amp; Postage Table'!D:D, 0))</f>
        <v/>
      </c>
      <c r="H27">
        <f>IF(ISBLANK(A27), "", B27 - E27 - F27 - G27)</f>
        <v/>
      </c>
      <c r="I27">
        <f>IF(ISBLANK(A27), "", D27 - XLOOKUP(A27, Inventory!A:A, Inventory!H:H, TODAY()))</f>
        <v/>
      </c>
    </row>
    <row r="28">
      <c r="E28">
        <f>IF(ISBLANK(A28), "", XLOOKUP(A28, Inventory!A:A, Inventory!E:E, 0))</f>
        <v/>
      </c>
      <c r="F28">
        <f>IF(ISBLANK(A28), "", (B28 * XLOOKUP(C28, 'Fees &amp; Postage Table'!A:A, 'Fees &amp; Postage Table'!C:C, 0)) + XLOOKUP(C28, 'Fees &amp; Postage Table'!A:A, 'Fees &amp; Postage Table'!B:B, 0))</f>
        <v/>
      </c>
      <c r="G28">
        <f>IF(ISBLANK(A28), "", XLOOKUP(C28, 'Fees &amp; Postage Table'!A:A, 'Fees &amp; Postage Table'!D:D, 0))</f>
        <v/>
      </c>
      <c r="H28">
        <f>IF(ISBLANK(A28), "", B28 - E28 - F28 - G28)</f>
        <v/>
      </c>
      <c r="I28">
        <f>IF(ISBLANK(A28), "", D28 - XLOOKUP(A28, Inventory!A:A, Inventory!H:H, TODAY()))</f>
        <v/>
      </c>
    </row>
    <row r="29">
      <c r="E29">
        <f>IF(ISBLANK(A29), "", XLOOKUP(A29, Inventory!A:A, Inventory!E:E, 0))</f>
        <v/>
      </c>
      <c r="F29">
        <f>IF(ISBLANK(A29), "", (B29 * XLOOKUP(C29, 'Fees &amp; Postage Table'!A:A, 'Fees &amp; Postage Table'!C:C, 0)) + XLOOKUP(C29, 'Fees &amp; Postage Table'!A:A, 'Fees &amp; Postage Table'!B:B, 0))</f>
        <v/>
      </c>
      <c r="G29">
        <f>IF(ISBLANK(A29), "", XLOOKUP(C29, 'Fees &amp; Postage Table'!A:A, 'Fees &amp; Postage Table'!D:D, 0))</f>
        <v/>
      </c>
      <c r="H29">
        <f>IF(ISBLANK(A29), "", B29 - E29 - F29 - G29)</f>
        <v/>
      </c>
      <c r="I29">
        <f>IF(ISBLANK(A29), "", D29 - XLOOKUP(A29, Inventory!A:A, Inventory!H:H, TODAY()))</f>
        <v/>
      </c>
    </row>
    <row r="30">
      <c r="E30">
        <f>IF(ISBLANK(A30), "", XLOOKUP(A30, Inventory!A:A, Inventory!E:E, 0))</f>
        <v/>
      </c>
      <c r="F30">
        <f>IF(ISBLANK(A30), "", (B30 * XLOOKUP(C30, 'Fees &amp; Postage Table'!A:A, 'Fees &amp; Postage Table'!C:C, 0)) + XLOOKUP(C30, 'Fees &amp; Postage Table'!A:A, 'Fees &amp; Postage Table'!B:B, 0))</f>
        <v/>
      </c>
      <c r="G30">
        <f>IF(ISBLANK(A30), "", XLOOKUP(C30, 'Fees &amp; Postage Table'!A:A, 'Fees &amp; Postage Table'!D:D, 0))</f>
        <v/>
      </c>
      <c r="H30">
        <f>IF(ISBLANK(A30), "", B30 - E30 - F30 - G30)</f>
        <v/>
      </c>
      <c r="I30">
        <f>IF(ISBLANK(A30), "", D30 - XLOOKUP(A30, Inventory!A:A, Inventory!H:H, TODAY()))</f>
        <v/>
      </c>
    </row>
    <row r="31">
      <c r="E31">
        <f>IF(ISBLANK(A31), "", XLOOKUP(A31, Inventory!A:A, Inventory!E:E, 0))</f>
        <v/>
      </c>
      <c r="F31">
        <f>IF(ISBLANK(A31), "", (B31 * XLOOKUP(C31, 'Fees &amp; Postage Table'!A:A, 'Fees &amp; Postage Table'!C:C, 0)) + XLOOKUP(C31, 'Fees &amp; Postage Table'!A:A, 'Fees &amp; Postage Table'!B:B, 0))</f>
        <v/>
      </c>
      <c r="G31">
        <f>IF(ISBLANK(A31), "", XLOOKUP(C31, 'Fees &amp; Postage Table'!A:A, 'Fees &amp; Postage Table'!D:D, 0))</f>
        <v/>
      </c>
      <c r="H31">
        <f>IF(ISBLANK(A31), "", B31 - E31 - F31 - G31)</f>
        <v/>
      </c>
      <c r="I31">
        <f>IF(ISBLANK(A31), "", D31 - XLOOKUP(A31, Inventory!A:A, Inventory!H:H, TODAY()))</f>
        <v/>
      </c>
    </row>
    <row r="32">
      <c r="E32">
        <f>IF(ISBLANK(A32), "", XLOOKUP(A32, Inventory!A:A, Inventory!E:E, 0))</f>
        <v/>
      </c>
      <c r="F32">
        <f>IF(ISBLANK(A32), "", (B32 * XLOOKUP(C32, 'Fees &amp; Postage Table'!A:A, 'Fees &amp; Postage Table'!C:C, 0)) + XLOOKUP(C32, 'Fees &amp; Postage Table'!A:A, 'Fees &amp; Postage Table'!B:B, 0))</f>
        <v/>
      </c>
      <c r="G32">
        <f>IF(ISBLANK(A32), "", XLOOKUP(C32, 'Fees &amp; Postage Table'!A:A, 'Fees &amp; Postage Table'!D:D, 0))</f>
        <v/>
      </c>
      <c r="H32">
        <f>IF(ISBLANK(A32), "", B32 - E32 - F32 - G32)</f>
        <v/>
      </c>
      <c r="I32">
        <f>IF(ISBLANK(A32), "", D32 - XLOOKUP(A32, Inventory!A:A, Inventory!H:H, TODAY()))</f>
        <v/>
      </c>
    </row>
    <row r="33">
      <c r="E33">
        <f>IF(ISBLANK(A33), "", XLOOKUP(A33, Inventory!A:A, Inventory!E:E, 0))</f>
        <v/>
      </c>
      <c r="F33">
        <f>IF(ISBLANK(A33), "", (B33 * XLOOKUP(C33, 'Fees &amp; Postage Table'!A:A, 'Fees &amp; Postage Table'!C:C, 0)) + XLOOKUP(C33, 'Fees &amp; Postage Table'!A:A, 'Fees &amp; Postage Table'!B:B, 0))</f>
        <v/>
      </c>
      <c r="G33">
        <f>IF(ISBLANK(A33), "", XLOOKUP(C33, 'Fees &amp; Postage Table'!A:A, 'Fees &amp; Postage Table'!D:D, 0))</f>
        <v/>
      </c>
      <c r="H33">
        <f>IF(ISBLANK(A33), "", B33 - E33 - F33 - G33)</f>
        <v/>
      </c>
      <c r="I33">
        <f>IF(ISBLANK(A33), "", D33 - XLOOKUP(A33, Inventory!A:A, Inventory!H:H, TODAY()))</f>
        <v/>
      </c>
    </row>
    <row r="34">
      <c r="E34">
        <f>IF(ISBLANK(A34), "", XLOOKUP(A34, Inventory!A:A, Inventory!E:E, 0))</f>
        <v/>
      </c>
      <c r="F34">
        <f>IF(ISBLANK(A34), "", (B34 * XLOOKUP(C34, 'Fees &amp; Postage Table'!A:A, 'Fees &amp; Postage Table'!C:C, 0)) + XLOOKUP(C34, 'Fees &amp; Postage Table'!A:A, 'Fees &amp; Postage Table'!B:B, 0))</f>
        <v/>
      </c>
      <c r="G34">
        <f>IF(ISBLANK(A34), "", XLOOKUP(C34, 'Fees &amp; Postage Table'!A:A, 'Fees &amp; Postage Table'!D:D, 0))</f>
        <v/>
      </c>
      <c r="H34">
        <f>IF(ISBLANK(A34), "", B34 - E34 - F34 - G34)</f>
        <v/>
      </c>
      <c r="I34">
        <f>IF(ISBLANK(A34), "", D34 - XLOOKUP(A34, Inventory!A:A, Inventory!H:H, TODAY()))</f>
        <v/>
      </c>
    </row>
    <row r="35">
      <c r="E35">
        <f>IF(ISBLANK(A35), "", XLOOKUP(A35, Inventory!A:A, Inventory!E:E, 0))</f>
        <v/>
      </c>
      <c r="F35">
        <f>IF(ISBLANK(A35), "", (B35 * XLOOKUP(C35, 'Fees &amp; Postage Table'!A:A, 'Fees &amp; Postage Table'!C:C, 0)) + XLOOKUP(C35, 'Fees &amp; Postage Table'!A:A, 'Fees &amp; Postage Table'!B:B, 0))</f>
        <v/>
      </c>
      <c r="G35">
        <f>IF(ISBLANK(A35), "", XLOOKUP(C35, 'Fees &amp; Postage Table'!A:A, 'Fees &amp; Postage Table'!D:D, 0))</f>
        <v/>
      </c>
      <c r="H35">
        <f>IF(ISBLANK(A35), "", B35 - E35 - F35 - G35)</f>
        <v/>
      </c>
      <c r="I35">
        <f>IF(ISBLANK(A35), "", D35 - XLOOKUP(A35, Inventory!A:A, Inventory!H:H, TODAY()))</f>
        <v/>
      </c>
    </row>
    <row r="36">
      <c r="E36">
        <f>IF(ISBLANK(A36), "", XLOOKUP(A36, Inventory!A:A, Inventory!E:E, 0))</f>
        <v/>
      </c>
      <c r="F36">
        <f>IF(ISBLANK(A36), "", (B36 * XLOOKUP(C36, 'Fees &amp; Postage Table'!A:A, 'Fees &amp; Postage Table'!C:C, 0)) + XLOOKUP(C36, 'Fees &amp; Postage Table'!A:A, 'Fees &amp; Postage Table'!B:B, 0))</f>
        <v/>
      </c>
      <c r="G36">
        <f>IF(ISBLANK(A36), "", XLOOKUP(C36, 'Fees &amp; Postage Table'!A:A, 'Fees &amp; Postage Table'!D:D, 0))</f>
        <v/>
      </c>
      <c r="H36">
        <f>IF(ISBLANK(A36), "", B36 - E36 - F36 - G36)</f>
        <v/>
      </c>
      <c r="I36">
        <f>IF(ISBLANK(A36), "", D36 - XLOOKUP(A36, Inventory!A:A, Inventory!H:H, TODAY()))</f>
        <v/>
      </c>
    </row>
    <row r="37">
      <c r="E37">
        <f>IF(ISBLANK(A37), "", XLOOKUP(A37, Inventory!A:A, Inventory!E:E, 0))</f>
        <v/>
      </c>
      <c r="F37">
        <f>IF(ISBLANK(A37), "", (B37 * XLOOKUP(C37, 'Fees &amp; Postage Table'!A:A, 'Fees &amp; Postage Table'!C:C, 0)) + XLOOKUP(C37, 'Fees &amp; Postage Table'!A:A, 'Fees &amp; Postage Table'!B:B, 0))</f>
        <v/>
      </c>
      <c r="G37">
        <f>IF(ISBLANK(A37), "", XLOOKUP(C37, 'Fees &amp; Postage Table'!A:A, 'Fees &amp; Postage Table'!D:D, 0))</f>
        <v/>
      </c>
      <c r="H37">
        <f>IF(ISBLANK(A37), "", B37 - E37 - F37 - G37)</f>
        <v/>
      </c>
      <c r="I37">
        <f>IF(ISBLANK(A37), "", D37 - XLOOKUP(A37, Inventory!A:A, Inventory!H:H, TODAY()))</f>
        <v/>
      </c>
    </row>
    <row r="38">
      <c r="E38">
        <f>IF(ISBLANK(A38), "", XLOOKUP(A38, Inventory!A:A, Inventory!E:E, 0))</f>
        <v/>
      </c>
      <c r="F38">
        <f>IF(ISBLANK(A38), "", (B38 * XLOOKUP(C38, 'Fees &amp; Postage Table'!A:A, 'Fees &amp; Postage Table'!C:C, 0)) + XLOOKUP(C38, 'Fees &amp; Postage Table'!A:A, 'Fees &amp; Postage Table'!B:B, 0))</f>
        <v/>
      </c>
      <c r="G38">
        <f>IF(ISBLANK(A38), "", XLOOKUP(C38, 'Fees &amp; Postage Table'!A:A, 'Fees &amp; Postage Table'!D:D, 0))</f>
        <v/>
      </c>
      <c r="H38">
        <f>IF(ISBLANK(A38), "", B38 - E38 - F38 - G38)</f>
        <v/>
      </c>
      <c r="I38">
        <f>IF(ISBLANK(A38), "", D38 - XLOOKUP(A38, Inventory!A:A, Inventory!H:H, TODAY()))</f>
        <v/>
      </c>
    </row>
    <row r="39">
      <c r="E39">
        <f>IF(ISBLANK(A39), "", XLOOKUP(A39, Inventory!A:A, Inventory!E:E, 0))</f>
        <v/>
      </c>
      <c r="F39">
        <f>IF(ISBLANK(A39), "", (B39 * XLOOKUP(C39, 'Fees &amp; Postage Table'!A:A, 'Fees &amp; Postage Table'!C:C, 0)) + XLOOKUP(C39, 'Fees &amp; Postage Table'!A:A, 'Fees &amp; Postage Table'!B:B, 0))</f>
        <v/>
      </c>
      <c r="G39">
        <f>IF(ISBLANK(A39), "", XLOOKUP(C39, 'Fees &amp; Postage Table'!A:A, 'Fees &amp; Postage Table'!D:D, 0))</f>
        <v/>
      </c>
      <c r="H39">
        <f>IF(ISBLANK(A39), "", B39 - E39 - F39 - G39)</f>
        <v/>
      </c>
      <c r="I39">
        <f>IF(ISBLANK(A39), "", D39 - XLOOKUP(A39, Inventory!A:A, Inventory!H:H, TODAY()))</f>
        <v/>
      </c>
    </row>
    <row r="40">
      <c r="E40">
        <f>IF(ISBLANK(A40), "", XLOOKUP(A40, Inventory!A:A, Inventory!E:E, 0))</f>
        <v/>
      </c>
      <c r="F40">
        <f>IF(ISBLANK(A40), "", (B40 * XLOOKUP(C40, 'Fees &amp; Postage Table'!A:A, 'Fees &amp; Postage Table'!C:C, 0)) + XLOOKUP(C40, 'Fees &amp; Postage Table'!A:A, 'Fees &amp; Postage Table'!B:B, 0))</f>
        <v/>
      </c>
      <c r="G40">
        <f>IF(ISBLANK(A40), "", XLOOKUP(C40, 'Fees &amp; Postage Table'!A:A, 'Fees &amp; Postage Table'!D:D, 0))</f>
        <v/>
      </c>
      <c r="H40">
        <f>IF(ISBLANK(A40), "", B40 - E40 - F40 - G40)</f>
        <v/>
      </c>
      <c r="I40">
        <f>IF(ISBLANK(A40), "", D40 - XLOOKUP(A40, Inventory!A:A, Inventory!H:H, TODAY()))</f>
        <v/>
      </c>
    </row>
    <row r="41">
      <c r="E41">
        <f>IF(ISBLANK(A41), "", XLOOKUP(A41, Inventory!A:A, Inventory!E:E, 0))</f>
        <v/>
      </c>
      <c r="F41">
        <f>IF(ISBLANK(A41), "", (B41 * XLOOKUP(C41, 'Fees &amp; Postage Table'!A:A, 'Fees &amp; Postage Table'!C:C, 0)) + XLOOKUP(C41, 'Fees &amp; Postage Table'!A:A, 'Fees &amp; Postage Table'!B:B, 0))</f>
        <v/>
      </c>
      <c r="G41">
        <f>IF(ISBLANK(A41), "", XLOOKUP(C41, 'Fees &amp; Postage Table'!A:A, 'Fees &amp; Postage Table'!D:D, 0))</f>
        <v/>
      </c>
      <c r="H41">
        <f>IF(ISBLANK(A41), "", B41 - E41 - F41 - G41)</f>
        <v/>
      </c>
      <c r="I41">
        <f>IF(ISBLANK(A41), "", D41 - XLOOKUP(A41, Inventory!A:A, Inventory!H:H, TODAY()))</f>
        <v/>
      </c>
    </row>
    <row r="42">
      <c r="E42">
        <f>IF(ISBLANK(A42), "", XLOOKUP(A42, Inventory!A:A, Inventory!E:E, 0))</f>
        <v/>
      </c>
      <c r="F42">
        <f>IF(ISBLANK(A42), "", (B42 * XLOOKUP(C42, 'Fees &amp; Postage Table'!A:A, 'Fees &amp; Postage Table'!C:C, 0)) + XLOOKUP(C42, 'Fees &amp; Postage Table'!A:A, 'Fees &amp; Postage Table'!B:B, 0))</f>
        <v/>
      </c>
      <c r="G42">
        <f>IF(ISBLANK(A42), "", XLOOKUP(C42, 'Fees &amp; Postage Table'!A:A, 'Fees &amp; Postage Table'!D:D, 0))</f>
        <v/>
      </c>
      <c r="H42">
        <f>IF(ISBLANK(A42), "", B42 - E42 - F42 - G42)</f>
        <v/>
      </c>
      <c r="I42">
        <f>IF(ISBLANK(A42), "", D42 - XLOOKUP(A42, Inventory!A:A, Inventory!H:H, TODAY()))</f>
        <v/>
      </c>
    </row>
    <row r="43">
      <c r="E43">
        <f>IF(ISBLANK(A43), "", XLOOKUP(A43, Inventory!A:A, Inventory!E:E, 0))</f>
        <v/>
      </c>
      <c r="F43">
        <f>IF(ISBLANK(A43), "", (B43 * XLOOKUP(C43, 'Fees &amp; Postage Table'!A:A, 'Fees &amp; Postage Table'!C:C, 0)) + XLOOKUP(C43, 'Fees &amp; Postage Table'!A:A, 'Fees &amp; Postage Table'!B:B, 0))</f>
        <v/>
      </c>
      <c r="G43">
        <f>IF(ISBLANK(A43), "", XLOOKUP(C43, 'Fees &amp; Postage Table'!A:A, 'Fees &amp; Postage Table'!D:D, 0))</f>
        <v/>
      </c>
      <c r="H43">
        <f>IF(ISBLANK(A43), "", B43 - E43 - F43 - G43)</f>
        <v/>
      </c>
      <c r="I43">
        <f>IF(ISBLANK(A43), "", D43 - XLOOKUP(A43, Inventory!A:A, Inventory!H:H, TODAY()))</f>
        <v/>
      </c>
    </row>
    <row r="44">
      <c r="E44">
        <f>IF(ISBLANK(A44), "", XLOOKUP(A44, Inventory!A:A, Inventory!E:E, 0))</f>
        <v/>
      </c>
      <c r="F44">
        <f>IF(ISBLANK(A44), "", (B44 * XLOOKUP(C44, 'Fees &amp; Postage Table'!A:A, 'Fees &amp; Postage Table'!C:C, 0)) + XLOOKUP(C44, 'Fees &amp; Postage Table'!A:A, 'Fees &amp; Postage Table'!B:B, 0))</f>
        <v/>
      </c>
      <c r="G44">
        <f>IF(ISBLANK(A44), "", XLOOKUP(C44, 'Fees &amp; Postage Table'!A:A, 'Fees &amp; Postage Table'!D:D, 0))</f>
        <v/>
      </c>
      <c r="H44">
        <f>IF(ISBLANK(A44), "", B44 - E44 - F44 - G44)</f>
        <v/>
      </c>
      <c r="I44">
        <f>IF(ISBLANK(A44), "", D44 - XLOOKUP(A44, Inventory!A:A, Inventory!H:H, TODAY()))</f>
        <v/>
      </c>
    </row>
    <row r="45">
      <c r="E45">
        <f>IF(ISBLANK(A45), "", XLOOKUP(A45, Inventory!A:A, Inventory!E:E, 0))</f>
        <v/>
      </c>
      <c r="F45">
        <f>IF(ISBLANK(A45), "", (B45 * XLOOKUP(C45, 'Fees &amp; Postage Table'!A:A, 'Fees &amp; Postage Table'!C:C, 0)) + XLOOKUP(C45, 'Fees &amp; Postage Table'!A:A, 'Fees &amp; Postage Table'!B:B, 0))</f>
        <v/>
      </c>
      <c r="G45">
        <f>IF(ISBLANK(A45), "", XLOOKUP(C45, 'Fees &amp; Postage Table'!A:A, 'Fees &amp; Postage Table'!D:D, 0))</f>
        <v/>
      </c>
      <c r="H45">
        <f>IF(ISBLANK(A45), "", B45 - E45 - F45 - G45)</f>
        <v/>
      </c>
      <c r="I45">
        <f>IF(ISBLANK(A45), "", D45 - XLOOKUP(A45, Inventory!A:A, Inventory!H:H, TODAY()))</f>
        <v/>
      </c>
    </row>
    <row r="46">
      <c r="E46">
        <f>IF(ISBLANK(A46), "", XLOOKUP(A46, Inventory!A:A, Inventory!E:E, 0))</f>
        <v/>
      </c>
      <c r="F46">
        <f>IF(ISBLANK(A46), "", (B46 * XLOOKUP(C46, 'Fees &amp; Postage Table'!A:A, 'Fees &amp; Postage Table'!C:C, 0)) + XLOOKUP(C46, 'Fees &amp; Postage Table'!A:A, 'Fees &amp; Postage Table'!B:B, 0))</f>
        <v/>
      </c>
      <c r="G46">
        <f>IF(ISBLANK(A46), "", XLOOKUP(C46, 'Fees &amp; Postage Table'!A:A, 'Fees &amp; Postage Table'!D:D, 0))</f>
        <v/>
      </c>
      <c r="H46">
        <f>IF(ISBLANK(A46), "", B46 - E46 - F46 - G46)</f>
        <v/>
      </c>
      <c r="I46">
        <f>IF(ISBLANK(A46), "", D46 - XLOOKUP(A46, Inventory!A:A, Inventory!H:H, TODAY()))</f>
        <v/>
      </c>
    </row>
    <row r="47">
      <c r="E47">
        <f>IF(ISBLANK(A47), "", XLOOKUP(A47, Inventory!A:A, Inventory!E:E, 0))</f>
        <v/>
      </c>
      <c r="F47">
        <f>IF(ISBLANK(A47), "", (B47 * XLOOKUP(C47, 'Fees &amp; Postage Table'!A:A, 'Fees &amp; Postage Table'!C:C, 0)) + XLOOKUP(C47, 'Fees &amp; Postage Table'!A:A, 'Fees &amp; Postage Table'!B:B, 0))</f>
        <v/>
      </c>
      <c r="G47">
        <f>IF(ISBLANK(A47), "", XLOOKUP(C47, 'Fees &amp; Postage Table'!A:A, 'Fees &amp; Postage Table'!D:D, 0))</f>
        <v/>
      </c>
      <c r="H47">
        <f>IF(ISBLANK(A47), "", B47 - E47 - F47 - G47)</f>
        <v/>
      </c>
      <c r="I47">
        <f>IF(ISBLANK(A47), "", D47 - XLOOKUP(A47, Inventory!A:A, Inventory!H:H, TODAY()))</f>
        <v/>
      </c>
    </row>
    <row r="48">
      <c r="E48">
        <f>IF(ISBLANK(A48), "", XLOOKUP(A48, Inventory!A:A, Inventory!E:E, 0))</f>
        <v/>
      </c>
      <c r="F48">
        <f>IF(ISBLANK(A48), "", (B48 * XLOOKUP(C48, 'Fees &amp; Postage Table'!A:A, 'Fees &amp; Postage Table'!C:C, 0)) + XLOOKUP(C48, 'Fees &amp; Postage Table'!A:A, 'Fees &amp; Postage Table'!B:B, 0))</f>
        <v/>
      </c>
      <c r="G48">
        <f>IF(ISBLANK(A48), "", XLOOKUP(C48, 'Fees &amp; Postage Table'!A:A, 'Fees &amp; Postage Table'!D:D, 0))</f>
        <v/>
      </c>
      <c r="H48">
        <f>IF(ISBLANK(A48), "", B48 - E48 - F48 - G48)</f>
        <v/>
      </c>
      <c r="I48">
        <f>IF(ISBLANK(A48), "", D48 - XLOOKUP(A48, Inventory!A:A, Inventory!H:H, TODAY()))</f>
        <v/>
      </c>
    </row>
    <row r="49">
      <c r="E49">
        <f>IF(ISBLANK(A49), "", XLOOKUP(A49, Inventory!A:A, Inventory!E:E, 0))</f>
        <v/>
      </c>
      <c r="F49">
        <f>IF(ISBLANK(A49), "", (B49 * XLOOKUP(C49, 'Fees &amp; Postage Table'!A:A, 'Fees &amp; Postage Table'!C:C, 0)) + XLOOKUP(C49, 'Fees &amp; Postage Table'!A:A, 'Fees &amp; Postage Table'!B:B, 0))</f>
        <v/>
      </c>
      <c r="G49">
        <f>IF(ISBLANK(A49), "", XLOOKUP(C49, 'Fees &amp; Postage Table'!A:A, 'Fees &amp; Postage Table'!D:D, 0))</f>
        <v/>
      </c>
      <c r="H49">
        <f>IF(ISBLANK(A49), "", B49 - E49 - F49 - G49)</f>
        <v/>
      </c>
      <c r="I49">
        <f>IF(ISBLANK(A49), "", D49 - XLOOKUP(A49, Inventory!A:A, Inventory!H:H, TODAY()))</f>
        <v/>
      </c>
    </row>
    <row r="50">
      <c r="E50">
        <f>IF(ISBLANK(A50), "", XLOOKUP(A50, Inventory!A:A, Inventory!E:E, 0))</f>
        <v/>
      </c>
      <c r="F50">
        <f>IF(ISBLANK(A50), "", (B50 * XLOOKUP(C50, 'Fees &amp; Postage Table'!A:A, 'Fees &amp; Postage Table'!C:C, 0)) + XLOOKUP(C50, 'Fees &amp; Postage Table'!A:A, 'Fees &amp; Postage Table'!B:B, 0))</f>
        <v/>
      </c>
      <c r="G50">
        <f>IF(ISBLANK(A50), "", XLOOKUP(C50, 'Fees &amp; Postage Table'!A:A, 'Fees &amp; Postage Table'!D:D, 0))</f>
        <v/>
      </c>
      <c r="H50">
        <f>IF(ISBLANK(A50), "", B50 - E50 - F50 - G50)</f>
        <v/>
      </c>
      <c r="I50">
        <f>IF(ISBLANK(A50), "", D50 - XLOOKUP(A50, Inventory!A:A, Inventory!H:H, TODAY()))</f>
        <v/>
      </c>
    </row>
    <row r="51">
      <c r="E51">
        <f>IF(ISBLANK(A51), "", XLOOKUP(A51, Inventory!A:A, Inventory!E:E, 0))</f>
        <v/>
      </c>
      <c r="F51">
        <f>IF(ISBLANK(A51), "", (B51 * XLOOKUP(C51, 'Fees &amp; Postage Table'!A:A, 'Fees &amp; Postage Table'!C:C, 0)) + XLOOKUP(C51, 'Fees &amp; Postage Table'!A:A, 'Fees &amp; Postage Table'!B:B, 0))</f>
        <v/>
      </c>
      <c r="G51">
        <f>IF(ISBLANK(A51), "", XLOOKUP(C51, 'Fees &amp; Postage Table'!A:A, 'Fees &amp; Postage Table'!D:D, 0))</f>
        <v/>
      </c>
      <c r="H51">
        <f>IF(ISBLANK(A51), "", B51 - E51 - F51 - G51)</f>
        <v/>
      </c>
      <c r="I51">
        <f>IF(ISBLANK(A51), "", D51 - XLOOKUP(A51, Inventory!A:A, Inventory!H:H, TODAY()))</f>
        <v/>
      </c>
    </row>
    <row r="52">
      <c r="E52">
        <f>IF(ISBLANK(A52), "", XLOOKUP(A52, Inventory!A:A, Inventory!E:E, 0))</f>
        <v/>
      </c>
      <c r="F52">
        <f>IF(ISBLANK(A52), "", (B52 * XLOOKUP(C52, 'Fees &amp; Postage Table'!A:A, 'Fees &amp; Postage Table'!C:C, 0)) + XLOOKUP(C52, 'Fees &amp; Postage Table'!A:A, 'Fees &amp; Postage Table'!B:B, 0))</f>
        <v/>
      </c>
      <c r="G52">
        <f>IF(ISBLANK(A52), "", XLOOKUP(C52, 'Fees &amp; Postage Table'!A:A, 'Fees &amp; Postage Table'!D:D, 0))</f>
        <v/>
      </c>
      <c r="H52">
        <f>IF(ISBLANK(A52), "", B52 - E52 - F52 - G52)</f>
        <v/>
      </c>
      <c r="I52">
        <f>IF(ISBLANK(A52), "", D52 - XLOOKUP(A52, Inventory!A:A, Inventory!H:H, TODAY()))</f>
        <v/>
      </c>
    </row>
    <row r="53">
      <c r="E53">
        <f>IF(ISBLANK(A53), "", XLOOKUP(A53, Inventory!A:A, Inventory!E:E, 0))</f>
        <v/>
      </c>
      <c r="F53">
        <f>IF(ISBLANK(A53), "", (B53 * XLOOKUP(C53, 'Fees &amp; Postage Table'!A:A, 'Fees &amp; Postage Table'!C:C, 0)) + XLOOKUP(C53, 'Fees &amp; Postage Table'!A:A, 'Fees &amp; Postage Table'!B:B, 0))</f>
        <v/>
      </c>
      <c r="G53">
        <f>IF(ISBLANK(A53), "", XLOOKUP(C53, 'Fees &amp; Postage Table'!A:A, 'Fees &amp; Postage Table'!D:D, 0))</f>
        <v/>
      </c>
      <c r="H53">
        <f>IF(ISBLANK(A53), "", B53 - E53 - F53 - G53)</f>
        <v/>
      </c>
      <c r="I53">
        <f>IF(ISBLANK(A53), "", D53 - XLOOKUP(A53, Inventory!A:A, Inventory!H:H, TODAY()))</f>
        <v/>
      </c>
    </row>
    <row r="54">
      <c r="E54">
        <f>IF(ISBLANK(A54), "", XLOOKUP(A54, Inventory!A:A, Inventory!E:E, 0))</f>
        <v/>
      </c>
      <c r="F54">
        <f>IF(ISBLANK(A54), "", (B54 * XLOOKUP(C54, 'Fees &amp; Postage Table'!A:A, 'Fees &amp; Postage Table'!C:C, 0)) + XLOOKUP(C54, 'Fees &amp; Postage Table'!A:A, 'Fees &amp; Postage Table'!B:B, 0))</f>
        <v/>
      </c>
      <c r="G54">
        <f>IF(ISBLANK(A54), "", XLOOKUP(C54, 'Fees &amp; Postage Table'!A:A, 'Fees &amp; Postage Table'!D:D, 0))</f>
        <v/>
      </c>
      <c r="H54">
        <f>IF(ISBLANK(A54), "", B54 - E54 - F54 - G54)</f>
        <v/>
      </c>
      <c r="I54">
        <f>IF(ISBLANK(A54), "", D54 - XLOOKUP(A54, Inventory!A:A, Inventory!H:H, TODAY()))</f>
        <v/>
      </c>
    </row>
    <row r="55">
      <c r="E55">
        <f>IF(ISBLANK(A55), "", XLOOKUP(A55, Inventory!A:A, Inventory!E:E, 0))</f>
        <v/>
      </c>
      <c r="F55">
        <f>IF(ISBLANK(A55), "", (B55 * XLOOKUP(C55, 'Fees &amp; Postage Table'!A:A, 'Fees &amp; Postage Table'!C:C, 0)) + XLOOKUP(C55, 'Fees &amp; Postage Table'!A:A, 'Fees &amp; Postage Table'!B:B, 0))</f>
        <v/>
      </c>
      <c r="G55">
        <f>IF(ISBLANK(A55), "", XLOOKUP(C55, 'Fees &amp; Postage Table'!A:A, 'Fees &amp; Postage Table'!D:D, 0))</f>
        <v/>
      </c>
      <c r="H55">
        <f>IF(ISBLANK(A55), "", B55 - E55 - F55 - G55)</f>
        <v/>
      </c>
      <c r="I55">
        <f>IF(ISBLANK(A55), "", D55 - XLOOKUP(A55, Inventory!A:A, Inventory!H:H, TODAY()))</f>
        <v/>
      </c>
    </row>
    <row r="56">
      <c r="E56">
        <f>IF(ISBLANK(A56), "", XLOOKUP(A56, Inventory!A:A, Inventory!E:E, 0))</f>
        <v/>
      </c>
      <c r="F56">
        <f>IF(ISBLANK(A56), "", (B56 * XLOOKUP(C56, 'Fees &amp; Postage Table'!A:A, 'Fees &amp; Postage Table'!C:C, 0)) + XLOOKUP(C56, 'Fees &amp; Postage Table'!A:A, 'Fees &amp; Postage Table'!B:B, 0))</f>
        <v/>
      </c>
      <c r="G56">
        <f>IF(ISBLANK(A56), "", XLOOKUP(C56, 'Fees &amp; Postage Table'!A:A, 'Fees &amp; Postage Table'!D:D, 0))</f>
        <v/>
      </c>
      <c r="H56">
        <f>IF(ISBLANK(A56), "", B56 - E56 - F56 - G56)</f>
        <v/>
      </c>
      <c r="I56">
        <f>IF(ISBLANK(A56), "", D56 - XLOOKUP(A56, Inventory!A:A, Inventory!H:H, TODAY()))</f>
        <v/>
      </c>
    </row>
    <row r="57">
      <c r="E57">
        <f>IF(ISBLANK(A57), "", XLOOKUP(A57, Inventory!A:A, Inventory!E:E, 0))</f>
        <v/>
      </c>
      <c r="F57">
        <f>IF(ISBLANK(A57), "", (B57 * XLOOKUP(C57, 'Fees &amp; Postage Table'!A:A, 'Fees &amp; Postage Table'!C:C, 0)) + XLOOKUP(C57, 'Fees &amp; Postage Table'!A:A, 'Fees &amp; Postage Table'!B:B, 0))</f>
        <v/>
      </c>
      <c r="G57">
        <f>IF(ISBLANK(A57), "", XLOOKUP(C57, 'Fees &amp; Postage Table'!A:A, 'Fees &amp; Postage Table'!D:D, 0))</f>
        <v/>
      </c>
      <c r="H57">
        <f>IF(ISBLANK(A57), "", B57 - E57 - F57 - G57)</f>
        <v/>
      </c>
      <c r="I57">
        <f>IF(ISBLANK(A57), "", D57 - XLOOKUP(A57, Inventory!A:A, Inventory!H:H, TODAY()))</f>
        <v/>
      </c>
    </row>
    <row r="58">
      <c r="E58">
        <f>IF(ISBLANK(A58), "", XLOOKUP(A58, Inventory!A:A, Inventory!E:E, 0))</f>
        <v/>
      </c>
      <c r="F58">
        <f>IF(ISBLANK(A58), "", (B58 * XLOOKUP(C58, 'Fees &amp; Postage Table'!A:A, 'Fees &amp; Postage Table'!C:C, 0)) + XLOOKUP(C58, 'Fees &amp; Postage Table'!A:A, 'Fees &amp; Postage Table'!B:B, 0))</f>
        <v/>
      </c>
      <c r="G58">
        <f>IF(ISBLANK(A58), "", XLOOKUP(C58, 'Fees &amp; Postage Table'!A:A, 'Fees &amp; Postage Table'!D:D, 0))</f>
        <v/>
      </c>
      <c r="H58">
        <f>IF(ISBLANK(A58), "", B58 - E58 - F58 - G58)</f>
        <v/>
      </c>
      <c r="I58">
        <f>IF(ISBLANK(A58), "", D58 - XLOOKUP(A58, Inventory!A:A, Inventory!H:H, TODAY()))</f>
        <v/>
      </c>
    </row>
    <row r="59">
      <c r="E59">
        <f>IF(ISBLANK(A59), "", XLOOKUP(A59, Inventory!A:A, Inventory!E:E, 0))</f>
        <v/>
      </c>
      <c r="F59">
        <f>IF(ISBLANK(A59), "", (B59 * XLOOKUP(C59, 'Fees &amp; Postage Table'!A:A, 'Fees &amp; Postage Table'!C:C, 0)) + XLOOKUP(C59, 'Fees &amp; Postage Table'!A:A, 'Fees &amp; Postage Table'!B:B, 0))</f>
        <v/>
      </c>
      <c r="G59">
        <f>IF(ISBLANK(A59), "", XLOOKUP(C59, 'Fees &amp; Postage Table'!A:A, 'Fees &amp; Postage Table'!D:D, 0))</f>
        <v/>
      </c>
      <c r="H59">
        <f>IF(ISBLANK(A59), "", B59 - E59 - F59 - G59)</f>
        <v/>
      </c>
      <c r="I59">
        <f>IF(ISBLANK(A59), "", D59 - XLOOKUP(A59, Inventory!A:A, Inventory!H:H, TODAY()))</f>
        <v/>
      </c>
    </row>
    <row r="60">
      <c r="E60">
        <f>IF(ISBLANK(A60), "", XLOOKUP(A60, Inventory!A:A, Inventory!E:E, 0))</f>
        <v/>
      </c>
      <c r="F60">
        <f>IF(ISBLANK(A60), "", (B60 * XLOOKUP(C60, 'Fees &amp; Postage Table'!A:A, 'Fees &amp; Postage Table'!C:C, 0)) + XLOOKUP(C60, 'Fees &amp; Postage Table'!A:A, 'Fees &amp; Postage Table'!B:B, 0))</f>
        <v/>
      </c>
      <c r="G60">
        <f>IF(ISBLANK(A60), "", XLOOKUP(C60, 'Fees &amp; Postage Table'!A:A, 'Fees &amp; Postage Table'!D:D, 0))</f>
        <v/>
      </c>
      <c r="H60">
        <f>IF(ISBLANK(A60), "", B60 - E60 - F60 - G60)</f>
        <v/>
      </c>
      <c r="I60">
        <f>IF(ISBLANK(A60), "", D60 - XLOOKUP(A60, Inventory!A:A, Inventory!H:H, TODAY()))</f>
        <v/>
      </c>
    </row>
    <row r="61">
      <c r="E61">
        <f>IF(ISBLANK(A61), "", XLOOKUP(A61, Inventory!A:A, Inventory!E:E, 0))</f>
        <v/>
      </c>
      <c r="F61">
        <f>IF(ISBLANK(A61), "", (B61 * XLOOKUP(C61, 'Fees &amp; Postage Table'!A:A, 'Fees &amp; Postage Table'!C:C, 0)) + XLOOKUP(C61, 'Fees &amp; Postage Table'!A:A, 'Fees &amp; Postage Table'!B:B, 0))</f>
        <v/>
      </c>
      <c r="G61">
        <f>IF(ISBLANK(A61), "", XLOOKUP(C61, 'Fees &amp; Postage Table'!A:A, 'Fees &amp; Postage Table'!D:D, 0))</f>
        <v/>
      </c>
      <c r="H61">
        <f>IF(ISBLANK(A61), "", B61 - E61 - F61 - G61)</f>
        <v/>
      </c>
      <c r="I61">
        <f>IF(ISBLANK(A61), "", D61 - XLOOKUP(A61, Inventory!A:A, Inventory!H:H, TODAY()))</f>
        <v/>
      </c>
    </row>
    <row r="62">
      <c r="E62">
        <f>IF(ISBLANK(A62), "", XLOOKUP(A62, Inventory!A:A, Inventory!E:E, 0))</f>
        <v/>
      </c>
      <c r="F62">
        <f>IF(ISBLANK(A62), "", (B62 * XLOOKUP(C62, 'Fees &amp; Postage Table'!A:A, 'Fees &amp; Postage Table'!C:C, 0)) + XLOOKUP(C62, 'Fees &amp; Postage Table'!A:A, 'Fees &amp; Postage Table'!B:B, 0))</f>
        <v/>
      </c>
      <c r="G62">
        <f>IF(ISBLANK(A62), "", XLOOKUP(C62, 'Fees &amp; Postage Table'!A:A, 'Fees &amp; Postage Table'!D:D, 0))</f>
        <v/>
      </c>
      <c r="H62">
        <f>IF(ISBLANK(A62), "", B62 - E62 - F62 - G62)</f>
        <v/>
      </c>
      <c r="I62">
        <f>IF(ISBLANK(A62), "", D62 - XLOOKUP(A62, Inventory!A:A, Inventory!H:H, TODAY()))</f>
        <v/>
      </c>
    </row>
    <row r="63">
      <c r="E63">
        <f>IF(ISBLANK(A63), "", XLOOKUP(A63, Inventory!A:A, Inventory!E:E, 0))</f>
        <v/>
      </c>
      <c r="F63">
        <f>IF(ISBLANK(A63), "", (B63 * XLOOKUP(C63, 'Fees &amp; Postage Table'!A:A, 'Fees &amp; Postage Table'!C:C, 0)) + XLOOKUP(C63, 'Fees &amp; Postage Table'!A:A, 'Fees &amp; Postage Table'!B:B, 0))</f>
        <v/>
      </c>
      <c r="G63">
        <f>IF(ISBLANK(A63), "", XLOOKUP(C63, 'Fees &amp; Postage Table'!A:A, 'Fees &amp; Postage Table'!D:D, 0))</f>
        <v/>
      </c>
      <c r="H63">
        <f>IF(ISBLANK(A63), "", B63 - E63 - F63 - G63)</f>
        <v/>
      </c>
      <c r="I63">
        <f>IF(ISBLANK(A63), "", D63 - XLOOKUP(A63, Inventory!A:A, Inventory!H:H, TODAY()))</f>
        <v/>
      </c>
    </row>
    <row r="64">
      <c r="E64">
        <f>IF(ISBLANK(A64), "", XLOOKUP(A64, Inventory!A:A, Inventory!E:E, 0))</f>
        <v/>
      </c>
      <c r="F64">
        <f>IF(ISBLANK(A64), "", (B64 * XLOOKUP(C64, 'Fees &amp; Postage Table'!A:A, 'Fees &amp; Postage Table'!C:C, 0)) + XLOOKUP(C64, 'Fees &amp; Postage Table'!A:A, 'Fees &amp; Postage Table'!B:B, 0))</f>
        <v/>
      </c>
      <c r="G64">
        <f>IF(ISBLANK(A64), "", XLOOKUP(C64, 'Fees &amp; Postage Table'!A:A, 'Fees &amp; Postage Table'!D:D, 0))</f>
        <v/>
      </c>
      <c r="H64">
        <f>IF(ISBLANK(A64), "", B64 - E64 - F64 - G64)</f>
        <v/>
      </c>
      <c r="I64">
        <f>IF(ISBLANK(A64), "", D64 - XLOOKUP(A64, Inventory!A:A, Inventory!H:H, TODAY()))</f>
        <v/>
      </c>
    </row>
    <row r="65">
      <c r="E65">
        <f>IF(ISBLANK(A65), "", XLOOKUP(A65, Inventory!A:A, Inventory!E:E, 0))</f>
        <v/>
      </c>
      <c r="F65">
        <f>IF(ISBLANK(A65), "", (B65 * XLOOKUP(C65, 'Fees &amp; Postage Table'!A:A, 'Fees &amp; Postage Table'!C:C, 0)) + XLOOKUP(C65, 'Fees &amp; Postage Table'!A:A, 'Fees &amp; Postage Table'!B:B, 0))</f>
        <v/>
      </c>
      <c r="G65">
        <f>IF(ISBLANK(A65), "", XLOOKUP(C65, 'Fees &amp; Postage Table'!A:A, 'Fees &amp; Postage Table'!D:D, 0))</f>
        <v/>
      </c>
      <c r="H65">
        <f>IF(ISBLANK(A65), "", B65 - E65 - F65 - G65)</f>
        <v/>
      </c>
      <c r="I65">
        <f>IF(ISBLANK(A65), "", D65 - XLOOKUP(A65, Inventory!A:A, Inventory!H:H, TODAY()))</f>
        <v/>
      </c>
    </row>
    <row r="66">
      <c r="E66">
        <f>IF(ISBLANK(A66), "", XLOOKUP(A66, Inventory!A:A, Inventory!E:E, 0))</f>
        <v/>
      </c>
      <c r="F66">
        <f>IF(ISBLANK(A66), "", (B66 * XLOOKUP(C66, 'Fees &amp; Postage Table'!A:A, 'Fees &amp; Postage Table'!C:C, 0)) + XLOOKUP(C66, 'Fees &amp; Postage Table'!A:A, 'Fees &amp; Postage Table'!B:B, 0))</f>
        <v/>
      </c>
      <c r="G66">
        <f>IF(ISBLANK(A66), "", XLOOKUP(C66, 'Fees &amp; Postage Table'!A:A, 'Fees &amp; Postage Table'!D:D, 0))</f>
        <v/>
      </c>
      <c r="H66">
        <f>IF(ISBLANK(A66), "", B66 - E66 - F66 - G66)</f>
        <v/>
      </c>
      <c r="I66">
        <f>IF(ISBLANK(A66), "", D66 - XLOOKUP(A66, Inventory!A:A, Inventory!H:H, TODAY()))</f>
        <v/>
      </c>
    </row>
    <row r="67">
      <c r="E67">
        <f>IF(ISBLANK(A67), "", XLOOKUP(A67, Inventory!A:A, Inventory!E:E, 0))</f>
        <v/>
      </c>
      <c r="F67">
        <f>IF(ISBLANK(A67), "", (B67 * XLOOKUP(C67, 'Fees &amp; Postage Table'!A:A, 'Fees &amp; Postage Table'!C:C, 0)) + XLOOKUP(C67, 'Fees &amp; Postage Table'!A:A, 'Fees &amp; Postage Table'!B:B, 0))</f>
        <v/>
      </c>
      <c r="G67">
        <f>IF(ISBLANK(A67), "", XLOOKUP(C67, 'Fees &amp; Postage Table'!A:A, 'Fees &amp; Postage Table'!D:D, 0))</f>
        <v/>
      </c>
      <c r="H67">
        <f>IF(ISBLANK(A67), "", B67 - E67 - F67 - G67)</f>
        <v/>
      </c>
      <c r="I67">
        <f>IF(ISBLANK(A67), "", D67 - XLOOKUP(A67, Inventory!A:A, Inventory!H:H, TODAY()))</f>
        <v/>
      </c>
    </row>
    <row r="68">
      <c r="E68">
        <f>IF(ISBLANK(A68), "", XLOOKUP(A68, Inventory!A:A, Inventory!E:E, 0))</f>
        <v/>
      </c>
      <c r="F68">
        <f>IF(ISBLANK(A68), "", (B68 * XLOOKUP(C68, 'Fees &amp; Postage Table'!A:A, 'Fees &amp; Postage Table'!C:C, 0)) + XLOOKUP(C68, 'Fees &amp; Postage Table'!A:A, 'Fees &amp; Postage Table'!B:B, 0))</f>
        <v/>
      </c>
      <c r="G68">
        <f>IF(ISBLANK(A68), "", XLOOKUP(C68, 'Fees &amp; Postage Table'!A:A, 'Fees &amp; Postage Table'!D:D, 0))</f>
        <v/>
      </c>
      <c r="H68">
        <f>IF(ISBLANK(A68), "", B68 - E68 - F68 - G68)</f>
        <v/>
      </c>
      <c r="I68">
        <f>IF(ISBLANK(A68), "", D68 - XLOOKUP(A68, Inventory!A:A, Inventory!H:H, TODAY()))</f>
        <v/>
      </c>
    </row>
    <row r="69">
      <c r="E69">
        <f>IF(ISBLANK(A69), "", XLOOKUP(A69, Inventory!A:A, Inventory!E:E, 0))</f>
        <v/>
      </c>
      <c r="F69">
        <f>IF(ISBLANK(A69), "", (B69 * XLOOKUP(C69, 'Fees &amp; Postage Table'!A:A, 'Fees &amp; Postage Table'!C:C, 0)) + XLOOKUP(C69, 'Fees &amp; Postage Table'!A:A, 'Fees &amp; Postage Table'!B:B, 0))</f>
        <v/>
      </c>
      <c r="G69">
        <f>IF(ISBLANK(A69), "", XLOOKUP(C69, 'Fees &amp; Postage Table'!A:A, 'Fees &amp; Postage Table'!D:D, 0))</f>
        <v/>
      </c>
      <c r="H69">
        <f>IF(ISBLANK(A69), "", B69 - E69 - F69 - G69)</f>
        <v/>
      </c>
      <c r="I69">
        <f>IF(ISBLANK(A69), "", D69 - XLOOKUP(A69, Inventory!A:A, Inventory!H:H, TODAY()))</f>
        <v/>
      </c>
    </row>
    <row r="70">
      <c r="E70">
        <f>IF(ISBLANK(A70), "", XLOOKUP(A70, Inventory!A:A, Inventory!E:E, 0))</f>
        <v/>
      </c>
      <c r="F70">
        <f>IF(ISBLANK(A70), "", (B70 * XLOOKUP(C70, 'Fees &amp; Postage Table'!A:A, 'Fees &amp; Postage Table'!C:C, 0)) + XLOOKUP(C70, 'Fees &amp; Postage Table'!A:A, 'Fees &amp; Postage Table'!B:B, 0))</f>
        <v/>
      </c>
      <c r="G70">
        <f>IF(ISBLANK(A70), "", XLOOKUP(C70, 'Fees &amp; Postage Table'!A:A, 'Fees &amp; Postage Table'!D:D, 0))</f>
        <v/>
      </c>
      <c r="H70">
        <f>IF(ISBLANK(A70), "", B70 - E70 - F70 - G70)</f>
        <v/>
      </c>
      <c r="I70">
        <f>IF(ISBLANK(A70), "", D70 - XLOOKUP(A70, Inventory!A:A, Inventory!H:H, TODAY()))</f>
        <v/>
      </c>
    </row>
    <row r="71">
      <c r="E71">
        <f>IF(ISBLANK(A71), "", XLOOKUP(A71, Inventory!A:A, Inventory!E:E, 0))</f>
        <v/>
      </c>
      <c r="F71">
        <f>IF(ISBLANK(A71), "", (B71 * XLOOKUP(C71, 'Fees &amp; Postage Table'!A:A, 'Fees &amp; Postage Table'!C:C, 0)) + XLOOKUP(C71, 'Fees &amp; Postage Table'!A:A, 'Fees &amp; Postage Table'!B:B, 0))</f>
        <v/>
      </c>
      <c r="G71">
        <f>IF(ISBLANK(A71), "", XLOOKUP(C71, 'Fees &amp; Postage Table'!A:A, 'Fees &amp; Postage Table'!D:D, 0))</f>
        <v/>
      </c>
      <c r="H71">
        <f>IF(ISBLANK(A71), "", B71 - E71 - F71 - G71)</f>
        <v/>
      </c>
      <c r="I71">
        <f>IF(ISBLANK(A71), "", D71 - XLOOKUP(A71, Inventory!A:A, Inventory!H:H, TODAY()))</f>
        <v/>
      </c>
    </row>
    <row r="72">
      <c r="E72">
        <f>IF(ISBLANK(A72), "", XLOOKUP(A72, Inventory!A:A, Inventory!E:E, 0))</f>
        <v/>
      </c>
      <c r="F72">
        <f>IF(ISBLANK(A72), "", (B72 * XLOOKUP(C72, 'Fees &amp; Postage Table'!A:A, 'Fees &amp; Postage Table'!C:C, 0)) + XLOOKUP(C72, 'Fees &amp; Postage Table'!A:A, 'Fees &amp; Postage Table'!B:B, 0))</f>
        <v/>
      </c>
      <c r="G72">
        <f>IF(ISBLANK(A72), "", XLOOKUP(C72, 'Fees &amp; Postage Table'!A:A, 'Fees &amp; Postage Table'!D:D, 0))</f>
        <v/>
      </c>
      <c r="H72">
        <f>IF(ISBLANK(A72), "", B72 - E72 - F72 - G72)</f>
        <v/>
      </c>
      <c r="I72">
        <f>IF(ISBLANK(A72), "", D72 - XLOOKUP(A72, Inventory!A:A, Inventory!H:H, TODAY()))</f>
        <v/>
      </c>
    </row>
    <row r="73">
      <c r="E73">
        <f>IF(ISBLANK(A73), "", XLOOKUP(A73, Inventory!A:A, Inventory!E:E, 0))</f>
        <v/>
      </c>
      <c r="F73">
        <f>IF(ISBLANK(A73), "", (B73 * XLOOKUP(C73, 'Fees &amp; Postage Table'!A:A, 'Fees &amp; Postage Table'!C:C, 0)) + XLOOKUP(C73, 'Fees &amp; Postage Table'!A:A, 'Fees &amp; Postage Table'!B:B, 0))</f>
        <v/>
      </c>
      <c r="G73">
        <f>IF(ISBLANK(A73), "", XLOOKUP(C73, 'Fees &amp; Postage Table'!A:A, 'Fees &amp; Postage Table'!D:D, 0))</f>
        <v/>
      </c>
      <c r="H73">
        <f>IF(ISBLANK(A73), "", B73 - E73 - F73 - G73)</f>
        <v/>
      </c>
      <c r="I73">
        <f>IF(ISBLANK(A73), "", D73 - XLOOKUP(A73, Inventory!A:A, Inventory!H:H, TODAY()))</f>
        <v/>
      </c>
    </row>
    <row r="74">
      <c r="E74">
        <f>IF(ISBLANK(A74), "", XLOOKUP(A74, Inventory!A:A, Inventory!E:E, 0))</f>
        <v/>
      </c>
      <c r="F74">
        <f>IF(ISBLANK(A74), "", (B74 * XLOOKUP(C74, 'Fees &amp; Postage Table'!A:A, 'Fees &amp; Postage Table'!C:C, 0)) + XLOOKUP(C74, 'Fees &amp; Postage Table'!A:A, 'Fees &amp; Postage Table'!B:B, 0))</f>
        <v/>
      </c>
      <c r="G74">
        <f>IF(ISBLANK(A74), "", XLOOKUP(C74, 'Fees &amp; Postage Table'!A:A, 'Fees &amp; Postage Table'!D:D, 0))</f>
        <v/>
      </c>
      <c r="H74">
        <f>IF(ISBLANK(A74), "", B74 - E74 - F74 - G74)</f>
        <v/>
      </c>
      <c r="I74">
        <f>IF(ISBLANK(A74), "", D74 - XLOOKUP(A74, Inventory!A:A, Inventory!H:H, TODAY()))</f>
        <v/>
      </c>
    </row>
    <row r="75">
      <c r="E75">
        <f>IF(ISBLANK(A75), "", XLOOKUP(A75, Inventory!A:A, Inventory!E:E, 0))</f>
        <v/>
      </c>
      <c r="F75">
        <f>IF(ISBLANK(A75), "", (B75 * XLOOKUP(C75, 'Fees &amp; Postage Table'!A:A, 'Fees &amp; Postage Table'!C:C, 0)) + XLOOKUP(C75, 'Fees &amp; Postage Table'!A:A, 'Fees &amp; Postage Table'!B:B, 0))</f>
        <v/>
      </c>
      <c r="G75">
        <f>IF(ISBLANK(A75), "", XLOOKUP(C75, 'Fees &amp; Postage Table'!A:A, 'Fees &amp; Postage Table'!D:D, 0))</f>
        <v/>
      </c>
      <c r="H75">
        <f>IF(ISBLANK(A75), "", B75 - E75 - F75 - G75)</f>
        <v/>
      </c>
      <c r="I75">
        <f>IF(ISBLANK(A75), "", D75 - XLOOKUP(A75, Inventory!A:A, Inventory!H:H, TODAY()))</f>
        <v/>
      </c>
    </row>
    <row r="76">
      <c r="E76">
        <f>IF(ISBLANK(A76), "", XLOOKUP(A76, Inventory!A:A, Inventory!E:E, 0))</f>
        <v/>
      </c>
      <c r="F76">
        <f>IF(ISBLANK(A76), "", (B76 * XLOOKUP(C76, 'Fees &amp; Postage Table'!A:A, 'Fees &amp; Postage Table'!C:C, 0)) + XLOOKUP(C76, 'Fees &amp; Postage Table'!A:A, 'Fees &amp; Postage Table'!B:B, 0))</f>
        <v/>
      </c>
      <c r="G76">
        <f>IF(ISBLANK(A76), "", XLOOKUP(C76, 'Fees &amp; Postage Table'!A:A, 'Fees &amp; Postage Table'!D:D, 0))</f>
        <v/>
      </c>
      <c r="H76">
        <f>IF(ISBLANK(A76), "", B76 - E76 - F76 - G76)</f>
        <v/>
      </c>
      <c r="I76">
        <f>IF(ISBLANK(A76), "", D76 - XLOOKUP(A76, Inventory!A:A, Inventory!H:H, TODAY()))</f>
        <v/>
      </c>
    </row>
    <row r="77">
      <c r="E77">
        <f>IF(ISBLANK(A77), "", XLOOKUP(A77, Inventory!A:A, Inventory!E:E, 0))</f>
        <v/>
      </c>
      <c r="F77">
        <f>IF(ISBLANK(A77), "", (B77 * XLOOKUP(C77, 'Fees &amp; Postage Table'!A:A, 'Fees &amp; Postage Table'!C:C, 0)) + XLOOKUP(C77, 'Fees &amp; Postage Table'!A:A, 'Fees &amp; Postage Table'!B:B, 0))</f>
        <v/>
      </c>
      <c r="G77">
        <f>IF(ISBLANK(A77), "", XLOOKUP(C77, 'Fees &amp; Postage Table'!A:A, 'Fees &amp; Postage Table'!D:D, 0))</f>
        <v/>
      </c>
      <c r="H77">
        <f>IF(ISBLANK(A77), "", B77 - E77 - F77 - G77)</f>
        <v/>
      </c>
      <c r="I77">
        <f>IF(ISBLANK(A77), "", D77 - XLOOKUP(A77, Inventory!A:A, Inventory!H:H, TODAY()))</f>
        <v/>
      </c>
    </row>
    <row r="78">
      <c r="E78">
        <f>IF(ISBLANK(A78), "", XLOOKUP(A78, Inventory!A:A, Inventory!E:E, 0))</f>
        <v/>
      </c>
      <c r="F78">
        <f>IF(ISBLANK(A78), "", (B78 * XLOOKUP(C78, 'Fees &amp; Postage Table'!A:A, 'Fees &amp; Postage Table'!C:C, 0)) + XLOOKUP(C78, 'Fees &amp; Postage Table'!A:A, 'Fees &amp; Postage Table'!B:B, 0))</f>
        <v/>
      </c>
      <c r="G78">
        <f>IF(ISBLANK(A78), "", XLOOKUP(C78, 'Fees &amp; Postage Table'!A:A, 'Fees &amp; Postage Table'!D:D, 0))</f>
        <v/>
      </c>
      <c r="H78">
        <f>IF(ISBLANK(A78), "", B78 - E78 - F78 - G78)</f>
        <v/>
      </c>
      <c r="I78">
        <f>IF(ISBLANK(A78), "", D78 - XLOOKUP(A78, Inventory!A:A, Inventory!H:H, TODAY()))</f>
        <v/>
      </c>
    </row>
    <row r="79">
      <c r="E79">
        <f>IF(ISBLANK(A79), "", XLOOKUP(A79, Inventory!A:A, Inventory!E:E, 0))</f>
        <v/>
      </c>
      <c r="F79">
        <f>IF(ISBLANK(A79), "", (B79 * XLOOKUP(C79, 'Fees &amp; Postage Table'!A:A, 'Fees &amp; Postage Table'!C:C, 0)) + XLOOKUP(C79, 'Fees &amp; Postage Table'!A:A, 'Fees &amp; Postage Table'!B:B, 0))</f>
        <v/>
      </c>
      <c r="G79">
        <f>IF(ISBLANK(A79), "", XLOOKUP(C79, 'Fees &amp; Postage Table'!A:A, 'Fees &amp; Postage Table'!D:D, 0))</f>
        <v/>
      </c>
      <c r="H79">
        <f>IF(ISBLANK(A79), "", B79 - E79 - F79 - G79)</f>
        <v/>
      </c>
      <c r="I79">
        <f>IF(ISBLANK(A79), "", D79 - XLOOKUP(A79, Inventory!A:A, Inventory!H:H, TODAY()))</f>
        <v/>
      </c>
    </row>
    <row r="80">
      <c r="E80">
        <f>IF(ISBLANK(A80), "", XLOOKUP(A80, Inventory!A:A, Inventory!E:E, 0))</f>
        <v/>
      </c>
      <c r="F80">
        <f>IF(ISBLANK(A80), "", (B80 * XLOOKUP(C80, 'Fees &amp; Postage Table'!A:A, 'Fees &amp; Postage Table'!C:C, 0)) + XLOOKUP(C80, 'Fees &amp; Postage Table'!A:A, 'Fees &amp; Postage Table'!B:B, 0))</f>
        <v/>
      </c>
      <c r="G80">
        <f>IF(ISBLANK(A80), "", XLOOKUP(C80, 'Fees &amp; Postage Table'!A:A, 'Fees &amp; Postage Table'!D:D, 0))</f>
        <v/>
      </c>
      <c r="H80">
        <f>IF(ISBLANK(A80), "", B80 - E80 - F80 - G80)</f>
        <v/>
      </c>
      <c r="I80">
        <f>IF(ISBLANK(A80), "", D80 - XLOOKUP(A80, Inventory!A:A, Inventory!H:H, TODAY()))</f>
        <v/>
      </c>
    </row>
    <row r="81">
      <c r="E81">
        <f>IF(ISBLANK(A81), "", XLOOKUP(A81, Inventory!A:A, Inventory!E:E, 0))</f>
        <v/>
      </c>
      <c r="F81">
        <f>IF(ISBLANK(A81), "", (B81 * XLOOKUP(C81, 'Fees &amp; Postage Table'!A:A, 'Fees &amp; Postage Table'!C:C, 0)) + XLOOKUP(C81, 'Fees &amp; Postage Table'!A:A, 'Fees &amp; Postage Table'!B:B, 0))</f>
        <v/>
      </c>
      <c r="G81">
        <f>IF(ISBLANK(A81), "", XLOOKUP(C81, 'Fees &amp; Postage Table'!A:A, 'Fees &amp; Postage Table'!D:D, 0))</f>
        <v/>
      </c>
      <c r="H81">
        <f>IF(ISBLANK(A81), "", B81 - E81 - F81 - G81)</f>
        <v/>
      </c>
      <c r="I81">
        <f>IF(ISBLANK(A81), "", D81 - XLOOKUP(A81, Inventory!A:A, Inventory!H:H, TODAY()))</f>
        <v/>
      </c>
    </row>
    <row r="82">
      <c r="E82">
        <f>IF(ISBLANK(A82), "", XLOOKUP(A82, Inventory!A:A, Inventory!E:E, 0))</f>
        <v/>
      </c>
      <c r="F82">
        <f>IF(ISBLANK(A82), "", (B82 * XLOOKUP(C82, 'Fees &amp; Postage Table'!A:A, 'Fees &amp; Postage Table'!C:C, 0)) + XLOOKUP(C82, 'Fees &amp; Postage Table'!A:A, 'Fees &amp; Postage Table'!B:B, 0))</f>
        <v/>
      </c>
      <c r="G82">
        <f>IF(ISBLANK(A82), "", XLOOKUP(C82, 'Fees &amp; Postage Table'!A:A, 'Fees &amp; Postage Table'!D:D, 0))</f>
        <v/>
      </c>
      <c r="H82">
        <f>IF(ISBLANK(A82), "", B82 - E82 - F82 - G82)</f>
        <v/>
      </c>
      <c r="I82">
        <f>IF(ISBLANK(A82), "", D82 - XLOOKUP(A82, Inventory!A:A, Inventory!H:H, TODAY()))</f>
        <v/>
      </c>
    </row>
    <row r="83">
      <c r="E83">
        <f>IF(ISBLANK(A83), "", XLOOKUP(A83, Inventory!A:A, Inventory!E:E, 0))</f>
        <v/>
      </c>
      <c r="F83">
        <f>IF(ISBLANK(A83), "", (B83 * XLOOKUP(C83, 'Fees &amp; Postage Table'!A:A, 'Fees &amp; Postage Table'!C:C, 0)) + XLOOKUP(C83, 'Fees &amp; Postage Table'!A:A, 'Fees &amp; Postage Table'!B:B, 0))</f>
        <v/>
      </c>
      <c r="G83">
        <f>IF(ISBLANK(A83), "", XLOOKUP(C83, 'Fees &amp; Postage Table'!A:A, 'Fees &amp; Postage Table'!D:D, 0))</f>
        <v/>
      </c>
      <c r="H83">
        <f>IF(ISBLANK(A83), "", B83 - E83 - F83 - G83)</f>
        <v/>
      </c>
      <c r="I83">
        <f>IF(ISBLANK(A83), "", D83 - XLOOKUP(A83, Inventory!A:A, Inventory!H:H, TODAY()))</f>
        <v/>
      </c>
    </row>
    <row r="84">
      <c r="E84">
        <f>IF(ISBLANK(A84), "", XLOOKUP(A84, Inventory!A:A, Inventory!E:E, 0))</f>
        <v/>
      </c>
      <c r="F84">
        <f>IF(ISBLANK(A84), "", (B84 * XLOOKUP(C84, 'Fees &amp; Postage Table'!A:A, 'Fees &amp; Postage Table'!C:C, 0)) + XLOOKUP(C84, 'Fees &amp; Postage Table'!A:A, 'Fees &amp; Postage Table'!B:B, 0))</f>
        <v/>
      </c>
      <c r="G84">
        <f>IF(ISBLANK(A84), "", XLOOKUP(C84, 'Fees &amp; Postage Table'!A:A, 'Fees &amp; Postage Table'!D:D, 0))</f>
        <v/>
      </c>
      <c r="H84">
        <f>IF(ISBLANK(A84), "", B84 - E84 - F84 - G84)</f>
        <v/>
      </c>
      <c r="I84">
        <f>IF(ISBLANK(A84), "", D84 - XLOOKUP(A84, Inventory!A:A, Inventory!H:H, TODAY()))</f>
        <v/>
      </c>
    </row>
    <row r="85">
      <c r="E85">
        <f>IF(ISBLANK(A85), "", XLOOKUP(A85, Inventory!A:A, Inventory!E:E, 0))</f>
        <v/>
      </c>
      <c r="F85">
        <f>IF(ISBLANK(A85), "", (B85 * XLOOKUP(C85, 'Fees &amp; Postage Table'!A:A, 'Fees &amp; Postage Table'!C:C, 0)) + XLOOKUP(C85, 'Fees &amp; Postage Table'!A:A, 'Fees &amp; Postage Table'!B:B, 0))</f>
        <v/>
      </c>
      <c r="G85">
        <f>IF(ISBLANK(A85), "", XLOOKUP(C85, 'Fees &amp; Postage Table'!A:A, 'Fees &amp; Postage Table'!D:D, 0))</f>
        <v/>
      </c>
      <c r="H85">
        <f>IF(ISBLANK(A85), "", B85 - E85 - F85 - G85)</f>
        <v/>
      </c>
      <c r="I85">
        <f>IF(ISBLANK(A85), "", D85 - XLOOKUP(A85, Inventory!A:A, Inventory!H:H, TODAY()))</f>
        <v/>
      </c>
    </row>
    <row r="86">
      <c r="E86">
        <f>IF(ISBLANK(A86), "", XLOOKUP(A86, Inventory!A:A, Inventory!E:E, 0))</f>
        <v/>
      </c>
      <c r="F86">
        <f>IF(ISBLANK(A86), "", (B86 * XLOOKUP(C86, 'Fees &amp; Postage Table'!A:A, 'Fees &amp; Postage Table'!C:C, 0)) + XLOOKUP(C86, 'Fees &amp; Postage Table'!A:A, 'Fees &amp; Postage Table'!B:B, 0))</f>
        <v/>
      </c>
      <c r="G86">
        <f>IF(ISBLANK(A86), "", XLOOKUP(C86, 'Fees &amp; Postage Table'!A:A, 'Fees &amp; Postage Table'!D:D, 0))</f>
        <v/>
      </c>
      <c r="H86">
        <f>IF(ISBLANK(A86), "", B86 - E86 - F86 - G86)</f>
        <v/>
      </c>
      <c r="I86">
        <f>IF(ISBLANK(A86), "", D86 - XLOOKUP(A86, Inventory!A:A, Inventory!H:H, TODAY()))</f>
        <v/>
      </c>
    </row>
    <row r="87">
      <c r="E87">
        <f>IF(ISBLANK(A87), "", XLOOKUP(A87, Inventory!A:A, Inventory!E:E, 0))</f>
        <v/>
      </c>
      <c r="F87">
        <f>IF(ISBLANK(A87), "", (B87 * XLOOKUP(C87, 'Fees &amp; Postage Table'!A:A, 'Fees &amp; Postage Table'!C:C, 0)) + XLOOKUP(C87, 'Fees &amp; Postage Table'!A:A, 'Fees &amp; Postage Table'!B:B, 0))</f>
        <v/>
      </c>
      <c r="G87">
        <f>IF(ISBLANK(A87), "", XLOOKUP(C87, 'Fees &amp; Postage Table'!A:A, 'Fees &amp; Postage Table'!D:D, 0))</f>
        <v/>
      </c>
      <c r="H87">
        <f>IF(ISBLANK(A87), "", B87 - E87 - F87 - G87)</f>
        <v/>
      </c>
      <c r="I87">
        <f>IF(ISBLANK(A87), "", D87 - XLOOKUP(A87, Inventory!A:A, Inventory!H:H, TODAY()))</f>
        <v/>
      </c>
    </row>
    <row r="88">
      <c r="E88">
        <f>IF(ISBLANK(A88), "", XLOOKUP(A88, Inventory!A:A, Inventory!E:E, 0))</f>
        <v/>
      </c>
      <c r="F88">
        <f>IF(ISBLANK(A88), "", (B88 * XLOOKUP(C88, 'Fees &amp; Postage Table'!A:A, 'Fees &amp; Postage Table'!C:C, 0)) + XLOOKUP(C88, 'Fees &amp; Postage Table'!A:A, 'Fees &amp; Postage Table'!B:B, 0))</f>
        <v/>
      </c>
      <c r="G88">
        <f>IF(ISBLANK(A88), "", XLOOKUP(C88, 'Fees &amp; Postage Table'!A:A, 'Fees &amp; Postage Table'!D:D, 0))</f>
        <v/>
      </c>
      <c r="H88">
        <f>IF(ISBLANK(A88), "", B88 - E88 - F88 - G88)</f>
        <v/>
      </c>
      <c r="I88">
        <f>IF(ISBLANK(A88), "", D88 - XLOOKUP(A88, Inventory!A:A, Inventory!H:H, TODAY()))</f>
        <v/>
      </c>
    </row>
    <row r="89">
      <c r="E89">
        <f>IF(ISBLANK(A89), "", XLOOKUP(A89, Inventory!A:A, Inventory!E:E, 0))</f>
        <v/>
      </c>
      <c r="F89">
        <f>IF(ISBLANK(A89), "", (B89 * XLOOKUP(C89, 'Fees &amp; Postage Table'!A:A, 'Fees &amp; Postage Table'!C:C, 0)) + XLOOKUP(C89, 'Fees &amp; Postage Table'!A:A, 'Fees &amp; Postage Table'!B:B, 0))</f>
        <v/>
      </c>
      <c r="G89">
        <f>IF(ISBLANK(A89), "", XLOOKUP(C89, 'Fees &amp; Postage Table'!A:A, 'Fees &amp; Postage Table'!D:D, 0))</f>
        <v/>
      </c>
      <c r="H89">
        <f>IF(ISBLANK(A89), "", B89 - E89 - F89 - G89)</f>
        <v/>
      </c>
      <c r="I89">
        <f>IF(ISBLANK(A89), "", D89 - XLOOKUP(A89, Inventory!A:A, Inventory!H:H, TODAY()))</f>
        <v/>
      </c>
    </row>
    <row r="90">
      <c r="E90">
        <f>IF(ISBLANK(A90), "", XLOOKUP(A90, Inventory!A:A, Inventory!E:E, 0))</f>
        <v/>
      </c>
      <c r="F90">
        <f>IF(ISBLANK(A90), "", (B90 * XLOOKUP(C90, 'Fees &amp; Postage Table'!A:A, 'Fees &amp; Postage Table'!C:C, 0)) + XLOOKUP(C90, 'Fees &amp; Postage Table'!A:A, 'Fees &amp; Postage Table'!B:B, 0))</f>
        <v/>
      </c>
      <c r="G90">
        <f>IF(ISBLANK(A90), "", XLOOKUP(C90, 'Fees &amp; Postage Table'!A:A, 'Fees &amp; Postage Table'!D:D, 0))</f>
        <v/>
      </c>
      <c r="H90">
        <f>IF(ISBLANK(A90), "", B90 - E90 - F90 - G90)</f>
        <v/>
      </c>
      <c r="I90">
        <f>IF(ISBLANK(A90), "", D90 - XLOOKUP(A90, Inventory!A:A, Inventory!H:H, TODAY()))</f>
        <v/>
      </c>
    </row>
    <row r="91">
      <c r="E91">
        <f>IF(ISBLANK(A91), "", XLOOKUP(A91, Inventory!A:A, Inventory!E:E, 0))</f>
        <v/>
      </c>
      <c r="F91">
        <f>IF(ISBLANK(A91), "", (B91 * XLOOKUP(C91, 'Fees &amp; Postage Table'!A:A, 'Fees &amp; Postage Table'!C:C, 0)) + XLOOKUP(C91, 'Fees &amp; Postage Table'!A:A, 'Fees &amp; Postage Table'!B:B, 0))</f>
        <v/>
      </c>
      <c r="G91">
        <f>IF(ISBLANK(A91), "", XLOOKUP(C91, 'Fees &amp; Postage Table'!A:A, 'Fees &amp; Postage Table'!D:D, 0))</f>
        <v/>
      </c>
      <c r="H91">
        <f>IF(ISBLANK(A91), "", B91 - E91 - F91 - G91)</f>
        <v/>
      </c>
      <c r="I91">
        <f>IF(ISBLANK(A91), "", D91 - XLOOKUP(A91, Inventory!A:A, Inventory!H:H, TODAY()))</f>
        <v/>
      </c>
    </row>
    <row r="92">
      <c r="E92">
        <f>IF(ISBLANK(A92), "", XLOOKUP(A92, Inventory!A:A, Inventory!E:E, 0))</f>
        <v/>
      </c>
      <c r="F92">
        <f>IF(ISBLANK(A92), "", (B92 * XLOOKUP(C92, 'Fees &amp; Postage Table'!A:A, 'Fees &amp; Postage Table'!C:C, 0)) + XLOOKUP(C92, 'Fees &amp; Postage Table'!A:A, 'Fees &amp; Postage Table'!B:B, 0))</f>
        <v/>
      </c>
      <c r="G92">
        <f>IF(ISBLANK(A92), "", XLOOKUP(C92, 'Fees &amp; Postage Table'!A:A, 'Fees &amp; Postage Table'!D:D, 0))</f>
        <v/>
      </c>
      <c r="H92">
        <f>IF(ISBLANK(A92), "", B92 - E92 - F92 - G92)</f>
        <v/>
      </c>
      <c r="I92">
        <f>IF(ISBLANK(A92), "", D92 - XLOOKUP(A92, Inventory!A:A, Inventory!H:H, TODAY()))</f>
        <v/>
      </c>
    </row>
    <row r="93">
      <c r="E93">
        <f>IF(ISBLANK(A93), "", XLOOKUP(A93, Inventory!A:A, Inventory!E:E, 0))</f>
        <v/>
      </c>
      <c r="F93">
        <f>IF(ISBLANK(A93), "", (B93 * XLOOKUP(C93, 'Fees &amp; Postage Table'!A:A, 'Fees &amp; Postage Table'!C:C, 0)) + XLOOKUP(C93, 'Fees &amp; Postage Table'!A:A, 'Fees &amp; Postage Table'!B:B, 0))</f>
        <v/>
      </c>
      <c r="G93">
        <f>IF(ISBLANK(A93), "", XLOOKUP(C93, 'Fees &amp; Postage Table'!A:A, 'Fees &amp; Postage Table'!D:D, 0))</f>
        <v/>
      </c>
      <c r="H93">
        <f>IF(ISBLANK(A93), "", B93 - E93 - F93 - G93)</f>
        <v/>
      </c>
      <c r="I93">
        <f>IF(ISBLANK(A93), "", D93 - XLOOKUP(A93, Inventory!A:A, Inventory!H:H, TODAY()))</f>
        <v/>
      </c>
    </row>
    <row r="94">
      <c r="E94">
        <f>IF(ISBLANK(A94), "", XLOOKUP(A94, Inventory!A:A, Inventory!E:E, 0))</f>
        <v/>
      </c>
      <c r="F94">
        <f>IF(ISBLANK(A94), "", (B94 * XLOOKUP(C94, 'Fees &amp; Postage Table'!A:A, 'Fees &amp; Postage Table'!C:C, 0)) + XLOOKUP(C94, 'Fees &amp; Postage Table'!A:A, 'Fees &amp; Postage Table'!B:B, 0))</f>
        <v/>
      </c>
      <c r="G94">
        <f>IF(ISBLANK(A94), "", XLOOKUP(C94, 'Fees &amp; Postage Table'!A:A, 'Fees &amp; Postage Table'!D:D, 0))</f>
        <v/>
      </c>
      <c r="H94">
        <f>IF(ISBLANK(A94), "", B94 - E94 - F94 - G94)</f>
        <v/>
      </c>
      <c r="I94">
        <f>IF(ISBLANK(A94), "", D94 - XLOOKUP(A94, Inventory!A:A, Inventory!H:H, TODAY()))</f>
        <v/>
      </c>
    </row>
    <row r="95">
      <c r="E95">
        <f>IF(ISBLANK(A95), "", XLOOKUP(A95, Inventory!A:A, Inventory!E:E, 0))</f>
        <v/>
      </c>
      <c r="F95">
        <f>IF(ISBLANK(A95), "", (B95 * XLOOKUP(C95, 'Fees &amp; Postage Table'!A:A, 'Fees &amp; Postage Table'!C:C, 0)) + XLOOKUP(C95, 'Fees &amp; Postage Table'!A:A, 'Fees &amp; Postage Table'!B:B, 0))</f>
        <v/>
      </c>
      <c r="G95">
        <f>IF(ISBLANK(A95), "", XLOOKUP(C95, 'Fees &amp; Postage Table'!A:A, 'Fees &amp; Postage Table'!D:D, 0))</f>
        <v/>
      </c>
      <c r="H95">
        <f>IF(ISBLANK(A95), "", B95 - E95 - F95 - G95)</f>
        <v/>
      </c>
      <c r="I95">
        <f>IF(ISBLANK(A95), "", D95 - XLOOKUP(A95, Inventory!A:A, Inventory!H:H, TODAY()))</f>
        <v/>
      </c>
    </row>
    <row r="96">
      <c r="E96">
        <f>IF(ISBLANK(A96), "", XLOOKUP(A96, Inventory!A:A, Inventory!E:E, 0))</f>
        <v/>
      </c>
      <c r="F96">
        <f>IF(ISBLANK(A96), "", (B96 * XLOOKUP(C96, 'Fees &amp; Postage Table'!A:A, 'Fees &amp; Postage Table'!C:C, 0)) + XLOOKUP(C96, 'Fees &amp; Postage Table'!A:A, 'Fees &amp; Postage Table'!B:B, 0))</f>
        <v/>
      </c>
      <c r="G96">
        <f>IF(ISBLANK(A96), "", XLOOKUP(C96, 'Fees &amp; Postage Table'!A:A, 'Fees &amp; Postage Table'!D:D, 0))</f>
        <v/>
      </c>
      <c r="H96">
        <f>IF(ISBLANK(A96), "", B96 - E96 - F96 - G96)</f>
        <v/>
      </c>
      <c r="I96">
        <f>IF(ISBLANK(A96), "", D96 - XLOOKUP(A96, Inventory!A:A, Inventory!H:H, TODAY()))</f>
        <v/>
      </c>
    </row>
    <row r="97">
      <c r="E97">
        <f>IF(ISBLANK(A97), "", XLOOKUP(A97, Inventory!A:A, Inventory!E:E, 0))</f>
        <v/>
      </c>
      <c r="F97">
        <f>IF(ISBLANK(A97), "", (B97 * XLOOKUP(C97, 'Fees &amp; Postage Table'!A:A, 'Fees &amp; Postage Table'!C:C, 0)) + XLOOKUP(C97, 'Fees &amp; Postage Table'!A:A, 'Fees &amp; Postage Table'!B:B, 0))</f>
        <v/>
      </c>
      <c r="G97">
        <f>IF(ISBLANK(A97), "", XLOOKUP(C97, 'Fees &amp; Postage Table'!A:A, 'Fees &amp; Postage Table'!D:D, 0))</f>
        <v/>
      </c>
      <c r="H97">
        <f>IF(ISBLANK(A97), "", B97 - E97 - F97 - G97)</f>
        <v/>
      </c>
      <c r="I97">
        <f>IF(ISBLANK(A97), "", D97 - XLOOKUP(A97, Inventory!A:A, Inventory!H:H, TODAY()))</f>
        <v/>
      </c>
    </row>
    <row r="98">
      <c r="E98">
        <f>IF(ISBLANK(A98), "", XLOOKUP(A98, Inventory!A:A, Inventory!E:E, 0))</f>
        <v/>
      </c>
      <c r="F98">
        <f>IF(ISBLANK(A98), "", (B98 * XLOOKUP(C98, 'Fees &amp; Postage Table'!A:A, 'Fees &amp; Postage Table'!C:C, 0)) + XLOOKUP(C98, 'Fees &amp; Postage Table'!A:A, 'Fees &amp; Postage Table'!B:B, 0))</f>
        <v/>
      </c>
      <c r="G98">
        <f>IF(ISBLANK(A98), "", XLOOKUP(C98, 'Fees &amp; Postage Table'!A:A, 'Fees &amp; Postage Table'!D:D, 0))</f>
        <v/>
      </c>
      <c r="H98">
        <f>IF(ISBLANK(A98), "", B98 - E98 - F98 - G98)</f>
        <v/>
      </c>
      <c r="I98">
        <f>IF(ISBLANK(A98), "", D98 - XLOOKUP(A98, Inventory!A:A, Inventory!H:H, TODAY()))</f>
        <v/>
      </c>
    </row>
    <row r="99">
      <c r="E99">
        <f>IF(ISBLANK(A99), "", XLOOKUP(A99, Inventory!A:A, Inventory!E:E, 0))</f>
        <v/>
      </c>
      <c r="F99">
        <f>IF(ISBLANK(A99), "", (B99 * XLOOKUP(C99, 'Fees &amp; Postage Table'!A:A, 'Fees &amp; Postage Table'!C:C, 0)) + XLOOKUP(C99, 'Fees &amp; Postage Table'!A:A, 'Fees &amp; Postage Table'!B:B, 0))</f>
        <v/>
      </c>
      <c r="G99">
        <f>IF(ISBLANK(A99), "", XLOOKUP(C99, 'Fees &amp; Postage Table'!A:A, 'Fees &amp; Postage Table'!D:D, 0))</f>
        <v/>
      </c>
      <c r="H99">
        <f>IF(ISBLANK(A99), "", B99 - E99 - F99 - G99)</f>
        <v/>
      </c>
      <c r="I99">
        <f>IF(ISBLANK(A99), "", D99 - XLOOKUP(A99, Inventory!A:A, Inventory!H:H, TODAY()))</f>
        <v/>
      </c>
    </row>
    <row r="100">
      <c r="E100">
        <f>IF(ISBLANK(A100), "", XLOOKUP(A100, Inventory!A:A, Inventory!E:E, 0))</f>
        <v/>
      </c>
      <c r="F100">
        <f>IF(ISBLANK(A100), "", (B100 * XLOOKUP(C100, 'Fees &amp; Postage Table'!A:A, 'Fees &amp; Postage Table'!C:C, 0)) + XLOOKUP(C100, 'Fees &amp; Postage Table'!A:A, 'Fees &amp; Postage Table'!B:B, 0))</f>
        <v/>
      </c>
      <c r="G100">
        <f>IF(ISBLANK(A100), "", XLOOKUP(C100, 'Fees &amp; Postage Table'!A:A, 'Fees &amp; Postage Table'!D:D, 0))</f>
        <v/>
      </c>
      <c r="H100">
        <f>IF(ISBLANK(A100), "", B100 - E100 - F100 - G100)</f>
        <v/>
      </c>
      <c r="I100">
        <f>IF(ISBLANK(A100), "", D100 - XLOOKUP(A100, Inventory!A:A, Inventory!H:H, TODAY()))</f>
        <v/>
      </c>
    </row>
    <row r="101">
      <c r="E101">
        <f>IF(ISBLANK(A101), "", XLOOKUP(A101, Inventory!A:A, Inventory!E:E, 0))</f>
        <v/>
      </c>
      <c r="F101">
        <f>IF(ISBLANK(A101), "", (B101 * XLOOKUP(C101, 'Fees &amp; Postage Table'!A:A, 'Fees &amp; Postage Table'!C:C, 0)) + XLOOKUP(C101, 'Fees &amp; Postage Table'!A:A, 'Fees &amp; Postage Table'!B:B, 0))</f>
        <v/>
      </c>
      <c r="G101">
        <f>IF(ISBLANK(A101), "", XLOOKUP(C101, 'Fees &amp; Postage Table'!A:A, 'Fees &amp; Postage Table'!D:D, 0))</f>
        <v/>
      </c>
      <c r="H101">
        <f>IF(ISBLANK(A101), "", B101 - E101 - F101 - G101)</f>
        <v/>
      </c>
      <c r="I101">
        <f>IF(ISBLANK(A101), "", D101 - XLOOKUP(A101, Inventory!A:A, Inventory!H:H, TODAY()))</f>
        <v/>
      </c>
    </row>
    <row r="102">
      <c r="E102">
        <f>IF(ISBLANK(A102), "", XLOOKUP(A102, Inventory!A:A, Inventory!E:E, 0))</f>
        <v/>
      </c>
      <c r="F102">
        <f>IF(ISBLANK(A102), "", (B102 * XLOOKUP(C102, 'Fees &amp; Postage Table'!A:A, 'Fees &amp; Postage Table'!C:C, 0)) + XLOOKUP(C102, 'Fees &amp; Postage Table'!A:A, 'Fees &amp; Postage Table'!B:B, 0))</f>
        <v/>
      </c>
      <c r="G102">
        <f>IF(ISBLANK(A102), "", XLOOKUP(C102, 'Fees &amp; Postage Table'!A:A, 'Fees &amp; Postage Table'!D:D, 0))</f>
        <v/>
      </c>
      <c r="H102">
        <f>IF(ISBLANK(A102), "", B102 - E102 - F102 - G102)</f>
        <v/>
      </c>
      <c r="I102">
        <f>IF(ISBLANK(A102), "", D102 - XLOOKUP(A102, Inventory!A:A, Inventory!H:H, TODAY()))</f>
        <v/>
      </c>
    </row>
    <row r="103">
      <c r="E103">
        <f>IF(ISBLANK(A103), "", XLOOKUP(A103, Inventory!A:A, Inventory!E:E, 0))</f>
        <v/>
      </c>
      <c r="F103">
        <f>IF(ISBLANK(A103), "", (B103 * XLOOKUP(C103, 'Fees &amp; Postage Table'!A:A, 'Fees &amp; Postage Table'!C:C, 0)) + XLOOKUP(C103, 'Fees &amp; Postage Table'!A:A, 'Fees &amp; Postage Table'!B:B, 0))</f>
        <v/>
      </c>
      <c r="G103">
        <f>IF(ISBLANK(A103), "", XLOOKUP(C103, 'Fees &amp; Postage Table'!A:A, 'Fees &amp; Postage Table'!D:D, 0))</f>
        <v/>
      </c>
      <c r="H103">
        <f>IF(ISBLANK(A103), "", B103 - E103 - F103 - G103)</f>
        <v/>
      </c>
      <c r="I103">
        <f>IF(ISBLANK(A103), "", D103 - XLOOKUP(A103, Inventory!A:A, Inventory!H:H, TODAY()))</f>
        <v/>
      </c>
    </row>
    <row r="104">
      <c r="E104">
        <f>IF(ISBLANK(A104), "", XLOOKUP(A104, Inventory!A:A, Inventory!E:E, 0))</f>
        <v/>
      </c>
      <c r="F104">
        <f>IF(ISBLANK(A104), "", (B104 * XLOOKUP(C104, 'Fees &amp; Postage Table'!A:A, 'Fees &amp; Postage Table'!C:C, 0)) + XLOOKUP(C104, 'Fees &amp; Postage Table'!A:A, 'Fees &amp; Postage Table'!B:B, 0))</f>
        <v/>
      </c>
      <c r="G104">
        <f>IF(ISBLANK(A104), "", XLOOKUP(C104, 'Fees &amp; Postage Table'!A:A, 'Fees &amp; Postage Table'!D:D, 0))</f>
        <v/>
      </c>
      <c r="H104">
        <f>IF(ISBLANK(A104), "", B104 - E104 - F104 - G104)</f>
        <v/>
      </c>
      <c r="I104">
        <f>IF(ISBLANK(A104), "", D104 - XLOOKUP(A104, Inventory!A:A, Inventory!H:H, TODAY()))</f>
        <v/>
      </c>
    </row>
    <row r="105">
      <c r="E105">
        <f>IF(ISBLANK(A105), "", XLOOKUP(A105, Inventory!A:A, Inventory!E:E, 0))</f>
        <v/>
      </c>
      <c r="F105">
        <f>IF(ISBLANK(A105), "", (B105 * XLOOKUP(C105, 'Fees &amp; Postage Table'!A:A, 'Fees &amp; Postage Table'!C:C, 0)) + XLOOKUP(C105, 'Fees &amp; Postage Table'!A:A, 'Fees &amp; Postage Table'!B:B, 0))</f>
        <v/>
      </c>
      <c r="G105">
        <f>IF(ISBLANK(A105), "", XLOOKUP(C105, 'Fees &amp; Postage Table'!A:A, 'Fees &amp; Postage Table'!D:D, 0))</f>
        <v/>
      </c>
      <c r="H105">
        <f>IF(ISBLANK(A105), "", B105 - E105 - F105 - G105)</f>
        <v/>
      </c>
      <c r="I105">
        <f>IF(ISBLANK(A105), "", D105 - XLOOKUP(A105, Inventory!A:A, Inventory!H:H, TODAY()))</f>
        <v/>
      </c>
    </row>
    <row r="106">
      <c r="E106">
        <f>IF(ISBLANK(A106), "", XLOOKUP(A106, Inventory!A:A, Inventory!E:E, 0))</f>
        <v/>
      </c>
      <c r="F106">
        <f>IF(ISBLANK(A106), "", (B106 * XLOOKUP(C106, 'Fees &amp; Postage Table'!A:A, 'Fees &amp; Postage Table'!C:C, 0)) + XLOOKUP(C106, 'Fees &amp; Postage Table'!A:A, 'Fees &amp; Postage Table'!B:B, 0))</f>
        <v/>
      </c>
      <c r="G106">
        <f>IF(ISBLANK(A106), "", XLOOKUP(C106, 'Fees &amp; Postage Table'!A:A, 'Fees &amp; Postage Table'!D:D, 0))</f>
        <v/>
      </c>
      <c r="H106">
        <f>IF(ISBLANK(A106), "", B106 - E106 - F106 - G106)</f>
        <v/>
      </c>
      <c r="I106">
        <f>IF(ISBLANK(A106), "", D106 - XLOOKUP(A106, Inventory!A:A, Inventory!H:H, TODAY()))</f>
        <v/>
      </c>
    </row>
    <row r="107">
      <c r="E107">
        <f>IF(ISBLANK(A107), "", XLOOKUP(A107, Inventory!A:A, Inventory!E:E, 0))</f>
        <v/>
      </c>
      <c r="F107">
        <f>IF(ISBLANK(A107), "", (B107 * XLOOKUP(C107, 'Fees &amp; Postage Table'!A:A, 'Fees &amp; Postage Table'!C:C, 0)) + XLOOKUP(C107, 'Fees &amp; Postage Table'!A:A, 'Fees &amp; Postage Table'!B:B, 0))</f>
        <v/>
      </c>
      <c r="G107">
        <f>IF(ISBLANK(A107), "", XLOOKUP(C107, 'Fees &amp; Postage Table'!A:A, 'Fees &amp; Postage Table'!D:D, 0))</f>
        <v/>
      </c>
      <c r="H107">
        <f>IF(ISBLANK(A107), "", B107 - E107 - F107 - G107)</f>
        <v/>
      </c>
      <c r="I107">
        <f>IF(ISBLANK(A107), "", D107 - XLOOKUP(A107, Inventory!A:A, Inventory!H:H, TODAY()))</f>
        <v/>
      </c>
    </row>
    <row r="108">
      <c r="E108">
        <f>IF(ISBLANK(A108), "", XLOOKUP(A108, Inventory!A:A, Inventory!E:E, 0))</f>
        <v/>
      </c>
      <c r="F108">
        <f>IF(ISBLANK(A108), "", (B108 * XLOOKUP(C108, 'Fees &amp; Postage Table'!A:A, 'Fees &amp; Postage Table'!C:C, 0)) + XLOOKUP(C108, 'Fees &amp; Postage Table'!A:A, 'Fees &amp; Postage Table'!B:B, 0))</f>
        <v/>
      </c>
      <c r="G108">
        <f>IF(ISBLANK(A108), "", XLOOKUP(C108, 'Fees &amp; Postage Table'!A:A, 'Fees &amp; Postage Table'!D:D, 0))</f>
        <v/>
      </c>
      <c r="H108">
        <f>IF(ISBLANK(A108), "", B108 - E108 - F108 - G108)</f>
        <v/>
      </c>
      <c r="I108">
        <f>IF(ISBLANK(A108), "", D108 - XLOOKUP(A108, Inventory!A:A, Inventory!H:H, TODAY()))</f>
        <v/>
      </c>
    </row>
    <row r="109">
      <c r="E109">
        <f>IF(ISBLANK(A109), "", XLOOKUP(A109, Inventory!A:A, Inventory!E:E, 0))</f>
        <v/>
      </c>
      <c r="F109">
        <f>IF(ISBLANK(A109), "", (B109 * XLOOKUP(C109, 'Fees &amp; Postage Table'!A:A, 'Fees &amp; Postage Table'!C:C, 0)) + XLOOKUP(C109, 'Fees &amp; Postage Table'!A:A, 'Fees &amp; Postage Table'!B:B, 0))</f>
        <v/>
      </c>
      <c r="G109">
        <f>IF(ISBLANK(A109), "", XLOOKUP(C109, 'Fees &amp; Postage Table'!A:A, 'Fees &amp; Postage Table'!D:D, 0))</f>
        <v/>
      </c>
      <c r="H109">
        <f>IF(ISBLANK(A109), "", B109 - E109 - F109 - G109)</f>
        <v/>
      </c>
      <c r="I109">
        <f>IF(ISBLANK(A109), "", D109 - XLOOKUP(A109, Inventory!A:A, Inventory!H:H, TODAY()))</f>
        <v/>
      </c>
    </row>
    <row r="110">
      <c r="E110">
        <f>IF(ISBLANK(A110), "", XLOOKUP(A110, Inventory!A:A, Inventory!E:E, 0))</f>
        <v/>
      </c>
      <c r="F110">
        <f>IF(ISBLANK(A110), "", (B110 * XLOOKUP(C110, 'Fees &amp; Postage Table'!A:A, 'Fees &amp; Postage Table'!C:C, 0)) + XLOOKUP(C110, 'Fees &amp; Postage Table'!A:A, 'Fees &amp; Postage Table'!B:B, 0))</f>
        <v/>
      </c>
      <c r="G110">
        <f>IF(ISBLANK(A110), "", XLOOKUP(C110, 'Fees &amp; Postage Table'!A:A, 'Fees &amp; Postage Table'!D:D, 0))</f>
        <v/>
      </c>
      <c r="H110">
        <f>IF(ISBLANK(A110), "", B110 - E110 - F110 - G110)</f>
        <v/>
      </c>
      <c r="I110">
        <f>IF(ISBLANK(A110), "", D110 - XLOOKUP(A110, Inventory!A:A, Inventory!H:H, TODAY()))</f>
        <v/>
      </c>
    </row>
    <row r="111">
      <c r="E111">
        <f>IF(ISBLANK(A111), "", XLOOKUP(A111, Inventory!A:A, Inventory!E:E, 0))</f>
        <v/>
      </c>
      <c r="F111">
        <f>IF(ISBLANK(A111), "", (B111 * XLOOKUP(C111, 'Fees &amp; Postage Table'!A:A, 'Fees &amp; Postage Table'!C:C, 0)) + XLOOKUP(C111, 'Fees &amp; Postage Table'!A:A, 'Fees &amp; Postage Table'!B:B, 0))</f>
        <v/>
      </c>
      <c r="G111">
        <f>IF(ISBLANK(A111), "", XLOOKUP(C111, 'Fees &amp; Postage Table'!A:A, 'Fees &amp; Postage Table'!D:D, 0))</f>
        <v/>
      </c>
      <c r="H111">
        <f>IF(ISBLANK(A111), "", B111 - E111 - F111 - G111)</f>
        <v/>
      </c>
      <c r="I111">
        <f>IF(ISBLANK(A111), "", D111 - XLOOKUP(A111, Inventory!A:A, Inventory!H:H, TODAY()))</f>
        <v/>
      </c>
    </row>
    <row r="112">
      <c r="E112">
        <f>IF(ISBLANK(A112), "", XLOOKUP(A112, Inventory!A:A, Inventory!E:E, 0))</f>
        <v/>
      </c>
      <c r="F112">
        <f>IF(ISBLANK(A112), "", (B112 * XLOOKUP(C112, 'Fees &amp; Postage Table'!A:A, 'Fees &amp; Postage Table'!C:C, 0)) + XLOOKUP(C112, 'Fees &amp; Postage Table'!A:A, 'Fees &amp; Postage Table'!B:B, 0))</f>
        <v/>
      </c>
      <c r="G112">
        <f>IF(ISBLANK(A112), "", XLOOKUP(C112, 'Fees &amp; Postage Table'!A:A, 'Fees &amp; Postage Table'!D:D, 0))</f>
        <v/>
      </c>
      <c r="H112">
        <f>IF(ISBLANK(A112), "", B112 - E112 - F112 - G112)</f>
        <v/>
      </c>
      <c r="I112">
        <f>IF(ISBLANK(A112), "", D112 - XLOOKUP(A112, Inventory!A:A, Inventory!H:H, TODAY()))</f>
        <v/>
      </c>
    </row>
    <row r="113">
      <c r="E113">
        <f>IF(ISBLANK(A113), "", XLOOKUP(A113, Inventory!A:A, Inventory!E:E, 0))</f>
        <v/>
      </c>
      <c r="F113">
        <f>IF(ISBLANK(A113), "", (B113 * XLOOKUP(C113, 'Fees &amp; Postage Table'!A:A, 'Fees &amp; Postage Table'!C:C, 0)) + XLOOKUP(C113, 'Fees &amp; Postage Table'!A:A, 'Fees &amp; Postage Table'!B:B, 0))</f>
        <v/>
      </c>
      <c r="G113">
        <f>IF(ISBLANK(A113), "", XLOOKUP(C113, 'Fees &amp; Postage Table'!A:A, 'Fees &amp; Postage Table'!D:D, 0))</f>
        <v/>
      </c>
      <c r="H113">
        <f>IF(ISBLANK(A113), "", B113 - E113 - F113 - G113)</f>
        <v/>
      </c>
      <c r="I113">
        <f>IF(ISBLANK(A113), "", D113 - XLOOKUP(A113, Inventory!A:A, Inventory!H:H, TODAY()))</f>
        <v/>
      </c>
    </row>
    <row r="114">
      <c r="E114">
        <f>IF(ISBLANK(A114), "", XLOOKUP(A114, Inventory!A:A, Inventory!E:E, 0))</f>
        <v/>
      </c>
      <c r="F114">
        <f>IF(ISBLANK(A114), "", (B114 * XLOOKUP(C114, 'Fees &amp; Postage Table'!A:A, 'Fees &amp; Postage Table'!C:C, 0)) + XLOOKUP(C114, 'Fees &amp; Postage Table'!A:A, 'Fees &amp; Postage Table'!B:B, 0))</f>
        <v/>
      </c>
      <c r="G114">
        <f>IF(ISBLANK(A114), "", XLOOKUP(C114, 'Fees &amp; Postage Table'!A:A, 'Fees &amp; Postage Table'!D:D, 0))</f>
        <v/>
      </c>
      <c r="H114">
        <f>IF(ISBLANK(A114), "", B114 - E114 - F114 - G114)</f>
        <v/>
      </c>
      <c r="I114">
        <f>IF(ISBLANK(A114), "", D114 - XLOOKUP(A114, Inventory!A:A, Inventory!H:H, TODAY()))</f>
        <v/>
      </c>
    </row>
    <row r="115">
      <c r="E115">
        <f>IF(ISBLANK(A115), "", XLOOKUP(A115, Inventory!A:A, Inventory!E:E, 0))</f>
        <v/>
      </c>
      <c r="F115">
        <f>IF(ISBLANK(A115), "", (B115 * XLOOKUP(C115, 'Fees &amp; Postage Table'!A:A, 'Fees &amp; Postage Table'!C:C, 0)) + XLOOKUP(C115, 'Fees &amp; Postage Table'!A:A, 'Fees &amp; Postage Table'!B:B, 0))</f>
        <v/>
      </c>
      <c r="G115">
        <f>IF(ISBLANK(A115), "", XLOOKUP(C115, 'Fees &amp; Postage Table'!A:A, 'Fees &amp; Postage Table'!D:D, 0))</f>
        <v/>
      </c>
      <c r="H115">
        <f>IF(ISBLANK(A115), "", B115 - E115 - F115 - G115)</f>
        <v/>
      </c>
      <c r="I115">
        <f>IF(ISBLANK(A115), "", D115 - XLOOKUP(A115, Inventory!A:A, Inventory!H:H, TODAY()))</f>
        <v/>
      </c>
    </row>
    <row r="116">
      <c r="E116">
        <f>IF(ISBLANK(A116), "", XLOOKUP(A116, Inventory!A:A, Inventory!E:E, 0))</f>
        <v/>
      </c>
      <c r="F116">
        <f>IF(ISBLANK(A116), "", (B116 * XLOOKUP(C116, 'Fees &amp; Postage Table'!A:A, 'Fees &amp; Postage Table'!C:C, 0)) + XLOOKUP(C116, 'Fees &amp; Postage Table'!A:A, 'Fees &amp; Postage Table'!B:B, 0))</f>
        <v/>
      </c>
      <c r="G116">
        <f>IF(ISBLANK(A116), "", XLOOKUP(C116, 'Fees &amp; Postage Table'!A:A, 'Fees &amp; Postage Table'!D:D, 0))</f>
        <v/>
      </c>
      <c r="H116">
        <f>IF(ISBLANK(A116), "", B116 - E116 - F116 - G116)</f>
        <v/>
      </c>
      <c r="I116">
        <f>IF(ISBLANK(A116), "", D116 - XLOOKUP(A116, Inventory!A:A, Inventory!H:H, TODAY()))</f>
        <v/>
      </c>
    </row>
    <row r="117">
      <c r="E117">
        <f>IF(ISBLANK(A117), "", XLOOKUP(A117, Inventory!A:A, Inventory!E:E, 0))</f>
        <v/>
      </c>
      <c r="F117">
        <f>IF(ISBLANK(A117), "", (B117 * XLOOKUP(C117, 'Fees &amp; Postage Table'!A:A, 'Fees &amp; Postage Table'!C:C, 0)) + XLOOKUP(C117, 'Fees &amp; Postage Table'!A:A, 'Fees &amp; Postage Table'!B:B, 0))</f>
        <v/>
      </c>
      <c r="G117">
        <f>IF(ISBLANK(A117), "", XLOOKUP(C117, 'Fees &amp; Postage Table'!A:A, 'Fees &amp; Postage Table'!D:D, 0))</f>
        <v/>
      </c>
      <c r="H117">
        <f>IF(ISBLANK(A117), "", B117 - E117 - F117 - G117)</f>
        <v/>
      </c>
      <c r="I117">
        <f>IF(ISBLANK(A117), "", D117 - XLOOKUP(A117, Inventory!A:A, Inventory!H:H, TODAY()))</f>
        <v/>
      </c>
    </row>
    <row r="118">
      <c r="E118">
        <f>IF(ISBLANK(A118), "", XLOOKUP(A118, Inventory!A:A, Inventory!E:E, 0))</f>
        <v/>
      </c>
      <c r="F118">
        <f>IF(ISBLANK(A118), "", (B118 * XLOOKUP(C118, 'Fees &amp; Postage Table'!A:A, 'Fees &amp; Postage Table'!C:C, 0)) + XLOOKUP(C118, 'Fees &amp; Postage Table'!A:A, 'Fees &amp; Postage Table'!B:B, 0))</f>
        <v/>
      </c>
      <c r="G118">
        <f>IF(ISBLANK(A118), "", XLOOKUP(C118, 'Fees &amp; Postage Table'!A:A, 'Fees &amp; Postage Table'!D:D, 0))</f>
        <v/>
      </c>
      <c r="H118">
        <f>IF(ISBLANK(A118), "", B118 - E118 - F118 - G118)</f>
        <v/>
      </c>
      <c r="I118">
        <f>IF(ISBLANK(A118), "", D118 - XLOOKUP(A118, Inventory!A:A, Inventory!H:H, TODAY()))</f>
        <v/>
      </c>
    </row>
    <row r="119">
      <c r="E119">
        <f>IF(ISBLANK(A119), "", XLOOKUP(A119, Inventory!A:A, Inventory!E:E, 0))</f>
        <v/>
      </c>
      <c r="F119">
        <f>IF(ISBLANK(A119), "", (B119 * XLOOKUP(C119, 'Fees &amp; Postage Table'!A:A, 'Fees &amp; Postage Table'!C:C, 0)) + XLOOKUP(C119, 'Fees &amp; Postage Table'!A:A, 'Fees &amp; Postage Table'!B:B, 0))</f>
        <v/>
      </c>
      <c r="G119">
        <f>IF(ISBLANK(A119), "", XLOOKUP(C119, 'Fees &amp; Postage Table'!A:A, 'Fees &amp; Postage Table'!D:D, 0))</f>
        <v/>
      </c>
      <c r="H119">
        <f>IF(ISBLANK(A119), "", B119 - E119 - F119 - G119)</f>
        <v/>
      </c>
      <c r="I119">
        <f>IF(ISBLANK(A119), "", D119 - XLOOKUP(A119, Inventory!A:A, Inventory!H:H, TODAY()))</f>
        <v/>
      </c>
    </row>
    <row r="120">
      <c r="E120">
        <f>IF(ISBLANK(A120), "", XLOOKUP(A120, Inventory!A:A, Inventory!E:E, 0))</f>
        <v/>
      </c>
      <c r="F120">
        <f>IF(ISBLANK(A120), "", (B120 * XLOOKUP(C120, 'Fees &amp; Postage Table'!A:A, 'Fees &amp; Postage Table'!C:C, 0)) + XLOOKUP(C120, 'Fees &amp; Postage Table'!A:A, 'Fees &amp; Postage Table'!B:B, 0))</f>
        <v/>
      </c>
      <c r="G120">
        <f>IF(ISBLANK(A120), "", XLOOKUP(C120, 'Fees &amp; Postage Table'!A:A, 'Fees &amp; Postage Table'!D:D, 0))</f>
        <v/>
      </c>
      <c r="H120">
        <f>IF(ISBLANK(A120), "", B120 - E120 - F120 - G120)</f>
        <v/>
      </c>
      <c r="I120">
        <f>IF(ISBLANK(A120), "", D120 - XLOOKUP(A120, Inventory!A:A, Inventory!H:H, TODAY()))</f>
        <v/>
      </c>
    </row>
    <row r="121">
      <c r="E121">
        <f>IF(ISBLANK(A121), "", XLOOKUP(A121, Inventory!A:A, Inventory!E:E, 0))</f>
        <v/>
      </c>
      <c r="F121">
        <f>IF(ISBLANK(A121), "", (B121 * XLOOKUP(C121, 'Fees &amp; Postage Table'!A:A, 'Fees &amp; Postage Table'!C:C, 0)) + XLOOKUP(C121, 'Fees &amp; Postage Table'!A:A, 'Fees &amp; Postage Table'!B:B, 0))</f>
        <v/>
      </c>
      <c r="G121">
        <f>IF(ISBLANK(A121), "", XLOOKUP(C121, 'Fees &amp; Postage Table'!A:A, 'Fees &amp; Postage Table'!D:D, 0))</f>
        <v/>
      </c>
      <c r="H121">
        <f>IF(ISBLANK(A121), "", B121 - E121 - F121 - G121)</f>
        <v/>
      </c>
      <c r="I121">
        <f>IF(ISBLANK(A121), "", D121 - XLOOKUP(A121, Inventory!A:A, Inventory!H:H, TODAY()))</f>
        <v/>
      </c>
    </row>
    <row r="122">
      <c r="E122">
        <f>IF(ISBLANK(A122), "", XLOOKUP(A122, Inventory!A:A, Inventory!E:E, 0))</f>
        <v/>
      </c>
      <c r="F122">
        <f>IF(ISBLANK(A122), "", (B122 * XLOOKUP(C122, 'Fees &amp; Postage Table'!A:A, 'Fees &amp; Postage Table'!C:C, 0)) + XLOOKUP(C122, 'Fees &amp; Postage Table'!A:A, 'Fees &amp; Postage Table'!B:B, 0))</f>
        <v/>
      </c>
      <c r="G122">
        <f>IF(ISBLANK(A122), "", XLOOKUP(C122, 'Fees &amp; Postage Table'!A:A, 'Fees &amp; Postage Table'!D:D, 0))</f>
        <v/>
      </c>
      <c r="H122">
        <f>IF(ISBLANK(A122), "", B122 - E122 - F122 - G122)</f>
        <v/>
      </c>
      <c r="I122">
        <f>IF(ISBLANK(A122), "", D122 - XLOOKUP(A122, Inventory!A:A, Inventory!H:H, TODAY()))</f>
        <v/>
      </c>
    </row>
    <row r="123">
      <c r="E123">
        <f>IF(ISBLANK(A123), "", XLOOKUP(A123, Inventory!A:A, Inventory!E:E, 0))</f>
        <v/>
      </c>
      <c r="F123">
        <f>IF(ISBLANK(A123), "", (B123 * XLOOKUP(C123, 'Fees &amp; Postage Table'!A:A, 'Fees &amp; Postage Table'!C:C, 0)) + XLOOKUP(C123, 'Fees &amp; Postage Table'!A:A, 'Fees &amp; Postage Table'!B:B, 0))</f>
        <v/>
      </c>
      <c r="G123">
        <f>IF(ISBLANK(A123), "", XLOOKUP(C123, 'Fees &amp; Postage Table'!A:A, 'Fees &amp; Postage Table'!D:D, 0))</f>
        <v/>
      </c>
      <c r="H123">
        <f>IF(ISBLANK(A123), "", B123 - E123 - F123 - G123)</f>
        <v/>
      </c>
      <c r="I123">
        <f>IF(ISBLANK(A123), "", D123 - XLOOKUP(A123, Inventory!A:A, Inventory!H:H, TODAY()))</f>
        <v/>
      </c>
    </row>
    <row r="124">
      <c r="E124">
        <f>IF(ISBLANK(A124), "", XLOOKUP(A124, Inventory!A:A, Inventory!E:E, 0))</f>
        <v/>
      </c>
      <c r="F124">
        <f>IF(ISBLANK(A124), "", (B124 * XLOOKUP(C124, 'Fees &amp; Postage Table'!A:A, 'Fees &amp; Postage Table'!C:C, 0)) + XLOOKUP(C124, 'Fees &amp; Postage Table'!A:A, 'Fees &amp; Postage Table'!B:B, 0))</f>
        <v/>
      </c>
      <c r="G124">
        <f>IF(ISBLANK(A124), "", XLOOKUP(C124, 'Fees &amp; Postage Table'!A:A, 'Fees &amp; Postage Table'!D:D, 0))</f>
        <v/>
      </c>
      <c r="H124">
        <f>IF(ISBLANK(A124), "", B124 - E124 - F124 - G124)</f>
        <v/>
      </c>
      <c r="I124">
        <f>IF(ISBLANK(A124), "", D124 - XLOOKUP(A124, Inventory!A:A, Inventory!H:H, TODAY()))</f>
        <v/>
      </c>
    </row>
    <row r="125">
      <c r="E125">
        <f>IF(ISBLANK(A125), "", XLOOKUP(A125, Inventory!A:A, Inventory!E:E, 0))</f>
        <v/>
      </c>
      <c r="F125">
        <f>IF(ISBLANK(A125), "", (B125 * XLOOKUP(C125, 'Fees &amp; Postage Table'!A:A, 'Fees &amp; Postage Table'!C:C, 0)) + XLOOKUP(C125, 'Fees &amp; Postage Table'!A:A, 'Fees &amp; Postage Table'!B:B, 0))</f>
        <v/>
      </c>
      <c r="G125">
        <f>IF(ISBLANK(A125), "", XLOOKUP(C125, 'Fees &amp; Postage Table'!A:A, 'Fees &amp; Postage Table'!D:D, 0))</f>
        <v/>
      </c>
      <c r="H125">
        <f>IF(ISBLANK(A125), "", B125 - E125 - F125 - G125)</f>
        <v/>
      </c>
      <c r="I125">
        <f>IF(ISBLANK(A125), "", D125 - XLOOKUP(A125, Inventory!A:A, Inventory!H:H, TODAY()))</f>
        <v/>
      </c>
    </row>
    <row r="126">
      <c r="E126">
        <f>IF(ISBLANK(A126), "", XLOOKUP(A126, Inventory!A:A, Inventory!E:E, 0))</f>
        <v/>
      </c>
      <c r="F126">
        <f>IF(ISBLANK(A126), "", (B126 * XLOOKUP(C126, 'Fees &amp; Postage Table'!A:A, 'Fees &amp; Postage Table'!C:C, 0)) + XLOOKUP(C126, 'Fees &amp; Postage Table'!A:A, 'Fees &amp; Postage Table'!B:B, 0))</f>
        <v/>
      </c>
      <c r="G126">
        <f>IF(ISBLANK(A126), "", XLOOKUP(C126, 'Fees &amp; Postage Table'!A:A, 'Fees &amp; Postage Table'!D:D, 0))</f>
        <v/>
      </c>
      <c r="H126">
        <f>IF(ISBLANK(A126), "", B126 - E126 - F126 - G126)</f>
        <v/>
      </c>
      <c r="I126">
        <f>IF(ISBLANK(A126), "", D126 - XLOOKUP(A126, Inventory!A:A, Inventory!H:H, TODAY()))</f>
        <v/>
      </c>
    </row>
    <row r="127">
      <c r="E127">
        <f>IF(ISBLANK(A127), "", XLOOKUP(A127, Inventory!A:A, Inventory!E:E, 0))</f>
        <v/>
      </c>
      <c r="F127">
        <f>IF(ISBLANK(A127), "", (B127 * XLOOKUP(C127, 'Fees &amp; Postage Table'!A:A, 'Fees &amp; Postage Table'!C:C, 0)) + XLOOKUP(C127, 'Fees &amp; Postage Table'!A:A, 'Fees &amp; Postage Table'!B:B, 0))</f>
        <v/>
      </c>
      <c r="G127">
        <f>IF(ISBLANK(A127), "", XLOOKUP(C127, 'Fees &amp; Postage Table'!A:A, 'Fees &amp; Postage Table'!D:D, 0))</f>
        <v/>
      </c>
      <c r="H127">
        <f>IF(ISBLANK(A127), "", B127 - E127 - F127 - G127)</f>
        <v/>
      </c>
      <c r="I127">
        <f>IF(ISBLANK(A127), "", D127 - XLOOKUP(A127, Inventory!A:A, Inventory!H:H, TODAY()))</f>
        <v/>
      </c>
    </row>
    <row r="128">
      <c r="E128">
        <f>IF(ISBLANK(A128), "", XLOOKUP(A128, Inventory!A:A, Inventory!E:E, 0))</f>
        <v/>
      </c>
      <c r="F128">
        <f>IF(ISBLANK(A128), "", (B128 * XLOOKUP(C128, 'Fees &amp; Postage Table'!A:A, 'Fees &amp; Postage Table'!C:C, 0)) + XLOOKUP(C128, 'Fees &amp; Postage Table'!A:A, 'Fees &amp; Postage Table'!B:B, 0))</f>
        <v/>
      </c>
      <c r="G128">
        <f>IF(ISBLANK(A128), "", XLOOKUP(C128, 'Fees &amp; Postage Table'!A:A, 'Fees &amp; Postage Table'!D:D, 0))</f>
        <v/>
      </c>
      <c r="H128">
        <f>IF(ISBLANK(A128), "", B128 - E128 - F128 - G128)</f>
        <v/>
      </c>
      <c r="I128">
        <f>IF(ISBLANK(A128), "", D128 - XLOOKUP(A128, Inventory!A:A, Inventory!H:H, TODAY()))</f>
        <v/>
      </c>
    </row>
    <row r="129">
      <c r="E129">
        <f>IF(ISBLANK(A129), "", XLOOKUP(A129, Inventory!A:A, Inventory!E:E, 0))</f>
        <v/>
      </c>
      <c r="F129">
        <f>IF(ISBLANK(A129), "", (B129 * XLOOKUP(C129, 'Fees &amp; Postage Table'!A:A, 'Fees &amp; Postage Table'!C:C, 0)) + XLOOKUP(C129, 'Fees &amp; Postage Table'!A:A, 'Fees &amp; Postage Table'!B:B, 0))</f>
        <v/>
      </c>
      <c r="G129">
        <f>IF(ISBLANK(A129), "", XLOOKUP(C129, 'Fees &amp; Postage Table'!A:A, 'Fees &amp; Postage Table'!D:D, 0))</f>
        <v/>
      </c>
      <c r="H129">
        <f>IF(ISBLANK(A129), "", B129 - E129 - F129 - G129)</f>
        <v/>
      </c>
      <c r="I129">
        <f>IF(ISBLANK(A129), "", D129 - XLOOKUP(A129, Inventory!A:A, Inventory!H:H, TODAY()))</f>
        <v/>
      </c>
    </row>
    <row r="130">
      <c r="E130">
        <f>IF(ISBLANK(A130), "", XLOOKUP(A130, Inventory!A:A, Inventory!E:E, 0))</f>
        <v/>
      </c>
      <c r="F130">
        <f>IF(ISBLANK(A130), "", (B130 * XLOOKUP(C130, 'Fees &amp; Postage Table'!A:A, 'Fees &amp; Postage Table'!C:C, 0)) + XLOOKUP(C130, 'Fees &amp; Postage Table'!A:A, 'Fees &amp; Postage Table'!B:B, 0))</f>
        <v/>
      </c>
      <c r="G130">
        <f>IF(ISBLANK(A130), "", XLOOKUP(C130, 'Fees &amp; Postage Table'!A:A, 'Fees &amp; Postage Table'!D:D, 0))</f>
        <v/>
      </c>
      <c r="H130">
        <f>IF(ISBLANK(A130), "", B130 - E130 - F130 - G130)</f>
        <v/>
      </c>
      <c r="I130">
        <f>IF(ISBLANK(A130), "", D130 - XLOOKUP(A130, Inventory!A:A, Inventory!H:H, TODAY()))</f>
        <v/>
      </c>
    </row>
    <row r="131">
      <c r="E131">
        <f>IF(ISBLANK(A131), "", XLOOKUP(A131, Inventory!A:A, Inventory!E:E, 0))</f>
        <v/>
      </c>
      <c r="F131">
        <f>IF(ISBLANK(A131), "", (B131 * XLOOKUP(C131, 'Fees &amp; Postage Table'!A:A, 'Fees &amp; Postage Table'!C:C, 0)) + XLOOKUP(C131, 'Fees &amp; Postage Table'!A:A, 'Fees &amp; Postage Table'!B:B, 0))</f>
        <v/>
      </c>
      <c r="G131">
        <f>IF(ISBLANK(A131), "", XLOOKUP(C131, 'Fees &amp; Postage Table'!A:A, 'Fees &amp; Postage Table'!D:D, 0))</f>
        <v/>
      </c>
      <c r="H131">
        <f>IF(ISBLANK(A131), "", B131 - E131 - F131 - G131)</f>
        <v/>
      </c>
      <c r="I131">
        <f>IF(ISBLANK(A131), "", D131 - XLOOKUP(A131, Inventory!A:A, Inventory!H:H, TODAY()))</f>
        <v/>
      </c>
    </row>
    <row r="132">
      <c r="E132">
        <f>IF(ISBLANK(A132), "", XLOOKUP(A132, Inventory!A:A, Inventory!E:E, 0))</f>
        <v/>
      </c>
      <c r="F132">
        <f>IF(ISBLANK(A132), "", (B132 * XLOOKUP(C132, 'Fees &amp; Postage Table'!A:A, 'Fees &amp; Postage Table'!C:C, 0)) + XLOOKUP(C132, 'Fees &amp; Postage Table'!A:A, 'Fees &amp; Postage Table'!B:B, 0))</f>
        <v/>
      </c>
      <c r="G132">
        <f>IF(ISBLANK(A132), "", XLOOKUP(C132, 'Fees &amp; Postage Table'!A:A, 'Fees &amp; Postage Table'!D:D, 0))</f>
        <v/>
      </c>
      <c r="H132">
        <f>IF(ISBLANK(A132), "", B132 - E132 - F132 - G132)</f>
        <v/>
      </c>
      <c r="I132">
        <f>IF(ISBLANK(A132), "", D132 - XLOOKUP(A132, Inventory!A:A, Inventory!H:H, TODAY()))</f>
        <v/>
      </c>
    </row>
    <row r="133">
      <c r="E133">
        <f>IF(ISBLANK(A133), "", XLOOKUP(A133, Inventory!A:A, Inventory!E:E, 0))</f>
        <v/>
      </c>
      <c r="F133">
        <f>IF(ISBLANK(A133), "", (B133 * XLOOKUP(C133, 'Fees &amp; Postage Table'!A:A, 'Fees &amp; Postage Table'!C:C, 0)) + XLOOKUP(C133, 'Fees &amp; Postage Table'!A:A, 'Fees &amp; Postage Table'!B:B, 0))</f>
        <v/>
      </c>
      <c r="G133">
        <f>IF(ISBLANK(A133), "", XLOOKUP(C133, 'Fees &amp; Postage Table'!A:A, 'Fees &amp; Postage Table'!D:D, 0))</f>
        <v/>
      </c>
      <c r="H133">
        <f>IF(ISBLANK(A133), "", B133 - E133 - F133 - G133)</f>
        <v/>
      </c>
      <c r="I133">
        <f>IF(ISBLANK(A133), "", D133 - XLOOKUP(A133, Inventory!A:A, Inventory!H:H, TODAY()))</f>
        <v/>
      </c>
    </row>
    <row r="134">
      <c r="E134">
        <f>IF(ISBLANK(A134), "", XLOOKUP(A134, Inventory!A:A, Inventory!E:E, 0))</f>
        <v/>
      </c>
      <c r="F134">
        <f>IF(ISBLANK(A134), "", (B134 * XLOOKUP(C134, 'Fees &amp; Postage Table'!A:A, 'Fees &amp; Postage Table'!C:C, 0)) + XLOOKUP(C134, 'Fees &amp; Postage Table'!A:A, 'Fees &amp; Postage Table'!B:B, 0))</f>
        <v/>
      </c>
      <c r="G134">
        <f>IF(ISBLANK(A134), "", XLOOKUP(C134, 'Fees &amp; Postage Table'!A:A, 'Fees &amp; Postage Table'!D:D, 0))</f>
        <v/>
      </c>
      <c r="H134">
        <f>IF(ISBLANK(A134), "", B134 - E134 - F134 - G134)</f>
        <v/>
      </c>
      <c r="I134">
        <f>IF(ISBLANK(A134), "", D134 - XLOOKUP(A134, Inventory!A:A, Inventory!H:H, TODAY()))</f>
        <v/>
      </c>
    </row>
    <row r="135">
      <c r="E135">
        <f>IF(ISBLANK(A135), "", XLOOKUP(A135, Inventory!A:A, Inventory!E:E, 0))</f>
        <v/>
      </c>
      <c r="F135">
        <f>IF(ISBLANK(A135), "", (B135 * XLOOKUP(C135, 'Fees &amp; Postage Table'!A:A, 'Fees &amp; Postage Table'!C:C, 0)) + XLOOKUP(C135, 'Fees &amp; Postage Table'!A:A, 'Fees &amp; Postage Table'!B:B, 0))</f>
        <v/>
      </c>
      <c r="G135">
        <f>IF(ISBLANK(A135), "", XLOOKUP(C135, 'Fees &amp; Postage Table'!A:A, 'Fees &amp; Postage Table'!D:D, 0))</f>
        <v/>
      </c>
      <c r="H135">
        <f>IF(ISBLANK(A135), "", B135 - E135 - F135 - G135)</f>
        <v/>
      </c>
      <c r="I135">
        <f>IF(ISBLANK(A135), "", D135 - XLOOKUP(A135, Inventory!A:A, Inventory!H:H, TODAY()))</f>
        <v/>
      </c>
    </row>
    <row r="136">
      <c r="E136">
        <f>IF(ISBLANK(A136), "", XLOOKUP(A136, Inventory!A:A, Inventory!E:E, 0))</f>
        <v/>
      </c>
      <c r="F136">
        <f>IF(ISBLANK(A136), "", (B136 * XLOOKUP(C136, 'Fees &amp; Postage Table'!A:A, 'Fees &amp; Postage Table'!C:C, 0)) + XLOOKUP(C136, 'Fees &amp; Postage Table'!A:A, 'Fees &amp; Postage Table'!B:B, 0))</f>
        <v/>
      </c>
      <c r="G136">
        <f>IF(ISBLANK(A136), "", XLOOKUP(C136, 'Fees &amp; Postage Table'!A:A, 'Fees &amp; Postage Table'!D:D, 0))</f>
        <v/>
      </c>
      <c r="H136">
        <f>IF(ISBLANK(A136), "", B136 - E136 - F136 - G136)</f>
        <v/>
      </c>
      <c r="I136">
        <f>IF(ISBLANK(A136), "", D136 - XLOOKUP(A136, Inventory!A:A, Inventory!H:H, TODAY()))</f>
        <v/>
      </c>
    </row>
    <row r="137">
      <c r="E137">
        <f>IF(ISBLANK(A137), "", XLOOKUP(A137, Inventory!A:A, Inventory!E:E, 0))</f>
        <v/>
      </c>
      <c r="F137">
        <f>IF(ISBLANK(A137), "", (B137 * XLOOKUP(C137, 'Fees &amp; Postage Table'!A:A, 'Fees &amp; Postage Table'!C:C, 0)) + XLOOKUP(C137, 'Fees &amp; Postage Table'!A:A, 'Fees &amp; Postage Table'!B:B, 0))</f>
        <v/>
      </c>
      <c r="G137">
        <f>IF(ISBLANK(A137), "", XLOOKUP(C137, 'Fees &amp; Postage Table'!A:A, 'Fees &amp; Postage Table'!D:D, 0))</f>
        <v/>
      </c>
      <c r="H137">
        <f>IF(ISBLANK(A137), "", B137 - E137 - F137 - G137)</f>
        <v/>
      </c>
      <c r="I137">
        <f>IF(ISBLANK(A137), "", D137 - XLOOKUP(A137, Inventory!A:A, Inventory!H:H, TODAY()))</f>
        <v/>
      </c>
    </row>
    <row r="138">
      <c r="E138">
        <f>IF(ISBLANK(A138), "", XLOOKUP(A138, Inventory!A:A, Inventory!E:E, 0))</f>
        <v/>
      </c>
      <c r="F138">
        <f>IF(ISBLANK(A138), "", (B138 * XLOOKUP(C138, 'Fees &amp; Postage Table'!A:A, 'Fees &amp; Postage Table'!C:C, 0)) + XLOOKUP(C138, 'Fees &amp; Postage Table'!A:A, 'Fees &amp; Postage Table'!B:B, 0))</f>
        <v/>
      </c>
      <c r="G138">
        <f>IF(ISBLANK(A138), "", XLOOKUP(C138, 'Fees &amp; Postage Table'!A:A, 'Fees &amp; Postage Table'!D:D, 0))</f>
        <v/>
      </c>
      <c r="H138">
        <f>IF(ISBLANK(A138), "", B138 - E138 - F138 - G138)</f>
        <v/>
      </c>
      <c r="I138">
        <f>IF(ISBLANK(A138), "", D138 - XLOOKUP(A138, Inventory!A:A, Inventory!H:H, TODAY()))</f>
        <v/>
      </c>
    </row>
    <row r="139">
      <c r="E139">
        <f>IF(ISBLANK(A139), "", XLOOKUP(A139, Inventory!A:A, Inventory!E:E, 0))</f>
        <v/>
      </c>
      <c r="F139">
        <f>IF(ISBLANK(A139), "", (B139 * XLOOKUP(C139, 'Fees &amp; Postage Table'!A:A, 'Fees &amp; Postage Table'!C:C, 0)) + XLOOKUP(C139, 'Fees &amp; Postage Table'!A:A, 'Fees &amp; Postage Table'!B:B, 0))</f>
        <v/>
      </c>
      <c r="G139">
        <f>IF(ISBLANK(A139), "", XLOOKUP(C139, 'Fees &amp; Postage Table'!A:A, 'Fees &amp; Postage Table'!D:D, 0))</f>
        <v/>
      </c>
      <c r="H139">
        <f>IF(ISBLANK(A139), "", B139 - E139 - F139 - G139)</f>
        <v/>
      </c>
      <c r="I139">
        <f>IF(ISBLANK(A139), "", D139 - XLOOKUP(A139, Inventory!A:A, Inventory!H:H, TODAY()))</f>
        <v/>
      </c>
    </row>
    <row r="140">
      <c r="E140">
        <f>IF(ISBLANK(A140), "", XLOOKUP(A140, Inventory!A:A, Inventory!E:E, 0))</f>
        <v/>
      </c>
      <c r="F140">
        <f>IF(ISBLANK(A140), "", (B140 * XLOOKUP(C140, 'Fees &amp; Postage Table'!A:A, 'Fees &amp; Postage Table'!C:C, 0)) + XLOOKUP(C140, 'Fees &amp; Postage Table'!A:A, 'Fees &amp; Postage Table'!B:B, 0))</f>
        <v/>
      </c>
      <c r="G140">
        <f>IF(ISBLANK(A140), "", XLOOKUP(C140, 'Fees &amp; Postage Table'!A:A, 'Fees &amp; Postage Table'!D:D, 0))</f>
        <v/>
      </c>
      <c r="H140">
        <f>IF(ISBLANK(A140), "", B140 - E140 - F140 - G140)</f>
        <v/>
      </c>
      <c r="I140">
        <f>IF(ISBLANK(A140), "", D140 - XLOOKUP(A140, Inventory!A:A, Inventory!H:H, TODAY()))</f>
        <v/>
      </c>
    </row>
    <row r="141">
      <c r="E141">
        <f>IF(ISBLANK(A141), "", XLOOKUP(A141, Inventory!A:A, Inventory!E:E, 0))</f>
        <v/>
      </c>
      <c r="F141">
        <f>IF(ISBLANK(A141), "", (B141 * XLOOKUP(C141, 'Fees &amp; Postage Table'!A:A, 'Fees &amp; Postage Table'!C:C, 0)) + XLOOKUP(C141, 'Fees &amp; Postage Table'!A:A, 'Fees &amp; Postage Table'!B:B, 0))</f>
        <v/>
      </c>
      <c r="G141">
        <f>IF(ISBLANK(A141), "", XLOOKUP(C141, 'Fees &amp; Postage Table'!A:A, 'Fees &amp; Postage Table'!D:D, 0))</f>
        <v/>
      </c>
      <c r="H141">
        <f>IF(ISBLANK(A141), "", B141 - E141 - F141 - G141)</f>
        <v/>
      </c>
      <c r="I141">
        <f>IF(ISBLANK(A141), "", D141 - XLOOKUP(A141, Inventory!A:A, Inventory!H:H, TODAY()))</f>
        <v/>
      </c>
    </row>
    <row r="142">
      <c r="E142">
        <f>IF(ISBLANK(A142), "", XLOOKUP(A142, Inventory!A:A, Inventory!E:E, 0))</f>
        <v/>
      </c>
      <c r="F142">
        <f>IF(ISBLANK(A142), "", (B142 * XLOOKUP(C142, 'Fees &amp; Postage Table'!A:A, 'Fees &amp; Postage Table'!C:C, 0)) + XLOOKUP(C142, 'Fees &amp; Postage Table'!A:A, 'Fees &amp; Postage Table'!B:B, 0))</f>
        <v/>
      </c>
      <c r="G142">
        <f>IF(ISBLANK(A142), "", XLOOKUP(C142, 'Fees &amp; Postage Table'!A:A, 'Fees &amp; Postage Table'!D:D, 0))</f>
        <v/>
      </c>
      <c r="H142">
        <f>IF(ISBLANK(A142), "", B142 - E142 - F142 - G142)</f>
        <v/>
      </c>
      <c r="I142">
        <f>IF(ISBLANK(A142), "", D142 - XLOOKUP(A142, Inventory!A:A, Inventory!H:H, TODAY()))</f>
        <v/>
      </c>
    </row>
    <row r="143">
      <c r="E143">
        <f>IF(ISBLANK(A143), "", XLOOKUP(A143, Inventory!A:A, Inventory!E:E, 0))</f>
        <v/>
      </c>
      <c r="F143">
        <f>IF(ISBLANK(A143), "", (B143 * XLOOKUP(C143, 'Fees &amp; Postage Table'!A:A, 'Fees &amp; Postage Table'!C:C, 0)) + XLOOKUP(C143, 'Fees &amp; Postage Table'!A:A, 'Fees &amp; Postage Table'!B:B, 0))</f>
        <v/>
      </c>
      <c r="G143">
        <f>IF(ISBLANK(A143), "", XLOOKUP(C143, 'Fees &amp; Postage Table'!A:A, 'Fees &amp; Postage Table'!D:D, 0))</f>
        <v/>
      </c>
      <c r="H143">
        <f>IF(ISBLANK(A143), "", B143 - E143 - F143 - G143)</f>
        <v/>
      </c>
      <c r="I143">
        <f>IF(ISBLANK(A143), "", D143 - XLOOKUP(A143, Inventory!A:A, Inventory!H:H, TODAY()))</f>
        <v/>
      </c>
    </row>
    <row r="144">
      <c r="E144">
        <f>IF(ISBLANK(A144), "", XLOOKUP(A144, Inventory!A:A, Inventory!E:E, 0))</f>
        <v/>
      </c>
      <c r="F144">
        <f>IF(ISBLANK(A144), "", (B144 * XLOOKUP(C144, 'Fees &amp; Postage Table'!A:A, 'Fees &amp; Postage Table'!C:C, 0)) + XLOOKUP(C144, 'Fees &amp; Postage Table'!A:A, 'Fees &amp; Postage Table'!B:B, 0))</f>
        <v/>
      </c>
      <c r="G144">
        <f>IF(ISBLANK(A144), "", XLOOKUP(C144, 'Fees &amp; Postage Table'!A:A, 'Fees &amp; Postage Table'!D:D, 0))</f>
        <v/>
      </c>
      <c r="H144">
        <f>IF(ISBLANK(A144), "", B144 - E144 - F144 - G144)</f>
        <v/>
      </c>
      <c r="I144">
        <f>IF(ISBLANK(A144), "", D144 - XLOOKUP(A144, Inventory!A:A, Inventory!H:H, TODAY()))</f>
        <v/>
      </c>
    </row>
    <row r="145">
      <c r="E145">
        <f>IF(ISBLANK(A145), "", XLOOKUP(A145, Inventory!A:A, Inventory!E:E, 0))</f>
        <v/>
      </c>
      <c r="F145">
        <f>IF(ISBLANK(A145), "", (B145 * XLOOKUP(C145, 'Fees &amp; Postage Table'!A:A, 'Fees &amp; Postage Table'!C:C, 0)) + XLOOKUP(C145, 'Fees &amp; Postage Table'!A:A, 'Fees &amp; Postage Table'!B:B, 0))</f>
        <v/>
      </c>
      <c r="G145">
        <f>IF(ISBLANK(A145), "", XLOOKUP(C145, 'Fees &amp; Postage Table'!A:A, 'Fees &amp; Postage Table'!D:D, 0))</f>
        <v/>
      </c>
      <c r="H145">
        <f>IF(ISBLANK(A145), "", B145 - E145 - F145 - G145)</f>
        <v/>
      </c>
      <c r="I145">
        <f>IF(ISBLANK(A145), "", D145 - XLOOKUP(A145, Inventory!A:A, Inventory!H:H, TODAY()))</f>
        <v/>
      </c>
    </row>
    <row r="146">
      <c r="E146">
        <f>IF(ISBLANK(A146), "", XLOOKUP(A146, Inventory!A:A, Inventory!E:E, 0))</f>
        <v/>
      </c>
      <c r="F146">
        <f>IF(ISBLANK(A146), "", (B146 * XLOOKUP(C146, 'Fees &amp; Postage Table'!A:A, 'Fees &amp; Postage Table'!C:C, 0)) + XLOOKUP(C146, 'Fees &amp; Postage Table'!A:A, 'Fees &amp; Postage Table'!B:B, 0))</f>
        <v/>
      </c>
      <c r="G146">
        <f>IF(ISBLANK(A146), "", XLOOKUP(C146, 'Fees &amp; Postage Table'!A:A, 'Fees &amp; Postage Table'!D:D, 0))</f>
        <v/>
      </c>
      <c r="H146">
        <f>IF(ISBLANK(A146), "", B146 - E146 - F146 - G146)</f>
        <v/>
      </c>
      <c r="I146">
        <f>IF(ISBLANK(A146), "", D146 - XLOOKUP(A146, Inventory!A:A, Inventory!H:H, TODAY()))</f>
        <v/>
      </c>
    </row>
    <row r="147">
      <c r="E147">
        <f>IF(ISBLANK(A147), "", XLOOKUP(A147, Inventory!A:A, Inventory!E:E, 0))</f>
        <v/>
      </c>
      <c r="F147">
        <f>IF(ISBLANK(A147), "", (B147 * XLOOKUP(C147, 'Fees &amp; Postage Table'!A:A, 'Fees &amp; Postage Table'!C:C, 0)) + XLOOKUP(C147, 'Fees &amp; Postage Table'!A:A, 'Fees &amp; Postage Table'!B:B, 0))</f>
        <v/>
      </c>
      <c r="G147">
        <f>IF(ISBLANK(A147), "", XLOOKUP(C147, 'Fees &amp; Postage Table'!A:A, 'Fees &amp; Postage Table'!D:D, 0))</f>
        <v/>
      </c>
      <c r="H147">
        <f>IF(ISBLANK(A147), "", B147 - E147 - F147 - G147)</f>
        <v/>
      </c>
      <c r="I147">
        <f>IF(ISBLANK(A147), "", D147 - XLOOKUP(A147, Inventory!A:A, Inventory!H:H, TODAY()))</f>
        <v/>
      </c>
    </row>
    <row r="148">
      <c r="E148">
        <f>IF(ISBLANK(A148), "", XLOOKUP(A148, Inventory!A:A, Inventory!E:E, 0))</f>
        <v/>
      </c>
      <c r="F148">
        <f>IF(ISBLANK(A148), "", (B148 * XLOOKUP(C148, 'Fees &amp; Postage Table'!A:A, 'Fees &amp; Postage Table'!C:C, 0)) + XLOOKUP(C148, 'Fees &amp; Postage Table'!A:A, 'Fees &amp; Postage Table'!B:B, 0))</f>
        <v/>
      </c>
      <c r="G148">
        <f>IF(ISBLANK(A148), "", XLOOKUP(C148, 'Fees &amp; Postage Table'!A:A, 'Fees &amp; Postage Table'!D:D, 0))</f>
        <v/>
      </c>
      <c r="H148">
        <f>IF(ISBLANK(A148), "", B148 - E148 - F148 - G148)</f>
        <v/>
      </c>
      <c r="I148">
        <f>IF(ISBLANK(A148), "", D148 - XLOOKUP(A148, Inventory!A:A, Inventory!H:H, TODAY()))</f>
        <v/>
      </c>
    </row>
    <row r="149">
      <c r="E149">
        <f>IF(ISBLANK(A149), "", XLOOKUP(A149, Inventory!A:A, Inventory!E:E, 0))</f>
        <v/>
      </c>
      <c r="F149">
        <f>IF(ISBLANK(A149), "", (B149 * XLOOKUP(C149, 'Fees &amp; Postage Table'!A:A, 'Fees &amp; Postage Table'!C:C, 0)) + XLOOKUP(C149, 'Fees &amp; Postage Table'!A:A, 'Fees &amp; Postage Table'!B:B, 0))</f>
        <v/>
      </c>
      <c r="G149">
        <f>IF(ISBLANK(A149), "", XLOOKUP(C149, 'Fees &amp; Postage Table'!A:A, 'Fees &amp; Postage Table'!D:D, 0))</f>
        <v/>
      </c>
      <c r="H149">
        <f>IF(ISBLANK(A149), "", B149 - E149 - F149 - G149)</f>
        <v/>
      </c>
      <c r="I149">
        <f>IF(ISBLANK(A149), "", D149 - XLOOKUP(A149, Inventory!A:A, Inventory!H:H, TODAY()))</f>
        <v/>
      </c>
    </row>
    <row r="150">
      <c r="E150">
        <f>IF(ISBLANK(A150), "", XLOOKUP(A150, Inventory!A:A, Inventory!E:E, 0))</f>
        <v/>
      </c>
      <c r="F150">
        <f>IF(ISBLANK(A150), "", (B150 * XLOOKUP(C150, 'Fees &amp; Postage Table'!A:A, 'Fees &amp; Postage Table'!C:C, 0)) + XLOOKUP(C150, 'Fees &amp; Postage Table'!A:A, 'Fees &amp; Postage Table'!B:B, 0))</f>
        <v/>
      </c>
      <c r="G150">
        <f>IF(ISBLANK(A150), "", XLOOKUP(C150, 'Fees &amp; Postage Table'!A:A, 'Fees &amp; Postage Table'!D:D, 0))</f>
        <v/>
      </c>
      <c r="H150">
        <f>IF(ISBLANK(A150), "", B150 - E150 - F150 - G150)</f>
        <v/>
      </c>
      <c r="I150">
        <f>IF(ISBLANK(A150), "", D150 - XLOOKUP(A150, Inventory!A:A, Inventory!H:H, TODAY()))</f>
        <v/>
      </c>
    </row>
    <row r="151">
      <c r="E151">
        <f>IF(ISBLANK(A151), "", XLOOKUP(A151, Inventory!A:A, Inventory!E:E, 0))</f>
        <v/>
      </c>
      <c r="F151">
        <f>IF(ISBLANK(A151), "", (B151 * XLOOKUP(C151, 'Fees &amp; Postage Table'!A:A, 'Fees &amp; Postage Table'!C:C, 0)) + XLOOKUP(C151, 'Fees &amp; Postage Table'!A:A, 'Fees &amp; Postage Table'!B:B, 0))</f>
        <v/>
      </c>
      <c r="G151">
        <f>IF(ISBLANK(A151), "", XLOOKUP(C151, 'Fees &amp; Postage Table'!A:A, 'Fees &amp; Postage Table'!D:D, 0))</f>
        <v/>
      </c>
      <c r="H151">
        <f>IF(ISBLANK(A151), "", B151 - E151 - F151 - G151)</f>
        <v/>
      </c>
      <c r="I151">
        <f>IF(ISBLANK(A151), "", D151 - XLOOKUP(A151, Inventory!A:A, Inventory!H:H, TODAY()))</f>
        <v/>
      </c>
    </row>
    <row r="152">
      <c r="E152">
        <f>IF(ISBLANK(A152), "", XLOOKUP(A152, Inventory!A:A, Inventory!E:E, 0))</f>
        <v/>
      </c>
      <c r="F152">
        <f>IF(ISBLANK(A152), "", (B152 * XLOOKUP(C152, 'Fees &amp; Postage Table'!A:A, 'Fees &amp; Postage Table'!C:C, 0)) + XLOOKUP(C152, 'Fees &amp; Postage Table'!A:A, 'Fees &amp; Postage Table'!B:B, 0))</f>
        <v/>
      </c>
      <c r="G152">
        <f>IF(ISBLANK(A152), "", XLOOKUP(C152, 'Fees &amp; Postage Table'!A:A, 'Fees &amp; Postage Table'!D:D, 0))</f>
        <v/>
      </c>
      <c r="H152">
        <f>IF(ISBLANK(A152), "", B152 - E152 - F152 - G152)</f>
        <v/>
      </c>
      <c r="I152">
        <f>IF(ISBLANK(A152), "", D152 - XLOOKUP(A152, Inventory!A:A, Inventory!H:H, TODAY()))</f>
        <v/>
      </c>
    </row>
    <row r="153">
      <c r="E153">
        <f>IF(ISBLANK(A153), "", XLOOKUP(A153, Inventory!A:A, Inventory!E:E, 0))</f>
        <v/>
      </c>
      <c r="F153">
        <f>IF(ISBLANK(A153), "", (B153 * XLOOKUP(C153, 'Fees &amp; Postage Table'!A:A, 'Fees &amp; Postage Table'!C:C, 0)) + XLOOKUP(C153, 'Fees &amp; Postage Table'!A:A, 'Fees &amp; Postage Table'!B:B, 0))</f>
        <v/>
      </c>
      <c r="G153">
        <f>IF(ISBLANK(A153), "", XLOOKUP(C153, 'Fees &amp; Postage Table'!A:A, 'Fees &amp; Postage Table'!D:D, 0))</f>
        <v/>
      </c>
      <c r="H153">
        <f>IF(ISBLANK(A153), "", B153 - E153 - F153 - G153)</f>
        <v/>
      </c>
      <c r="I153">
        <f>IF(ISBLANK(A153), "", D153 - XLOOKUP(A153, Inventory!A:A, Inventory!H:H, TODAY()))</f>
        <v/>
      </c>
    </row>
    <row r="154">
      <c r="E154">
        <f>IF(ISBLANK(A154), "", XLOOKUP(A154, Inventory!A:A, Inventory!E:E, 0))</f>
        <v/>
      </c>
      <c r="F154">
        <f>IF(ISBLANK(A154), "", (B154 * XLOOKUP(C154, 'Fees &amp; Postage Table'!A:A, 'Fees &amp; Postage Table'!C:C, 0)) + XLOOKUP(C154, 'Fees &amp; Postage Table'!A:A, 'Fees &amp; Postage Table'!B:B, 0))</f>
        <v/>
      </c>
      <c r="G154">
        <f>IF(ISBLANK(A154), "", XLOOKUP(C154, 'Fees &amp; Postage Table'!A:A, 'Fees &amp; Postage Table'!D:D, 0))</f>
        <v/>
      </c>
      <c r="H154">
        <f>IF(ISBLANK(A154), "", B154 - E154 - F154 - G154)</f>
        <v/>
      </c>
      <c r="I154">
        <f>IF(ISBLANK(A154), "", D154 - XLOOKUP(A154, Inventory!A:A, Inventory!H:H, TODAY()))</f>
        <v/>
      </c>
    </row>
    <row r="155">
      <c r="E155">
        <f>IF(ISBLANK(A155), "", XLOOKUP(A155, Inventory!A:A, Inventory!E:E, 0))</f>
        <v/>
      </c>
      <c r="F155">
        <f>IF(ISBLANK(A155), "", (B155 * XLOOKUP(C155, 'Fees &amp; Postage Table'!A:A, 'Fees &amp; Postage Table'!C:C, 0)) + XLOOKUP(C155, 'Fees &amp; Postage Table'!A:A, 'Fees &amp; Postage Table'!B:B, 0))</f>
        <v/>
      </c>
      <c r="G155">
        <f>IF(ISBLANK(A155), "", XLOOKUP(C155, 'Fees &amp; Postage Table'!A:A, 'Fees &amp; Postage Table'!D:D, 0))</f>
        <v/>
      </c>
      <c r="H155">
        <f>IF(ISBLANK(A155), "", B155 - E155 - F155 - G155)</f>
        <v/>
      </c>
      <c r="I155">
        <f>IF(ISBLANK(A155), "", D155 - XLOOKUP(A155, Inventory!A:A, Inventory!H:H, TODAY()))</f>
        <v/>
      </c>
    </row>
    <row r="156">
      <c r="E156">
        <f>IF(ISBLANK(A156), "", XLOOKUP(A156, Inventory!A:A, Inventory!E:E, 0))</f>
        <v/>
      </c>
      <c r="F156">
        <f>IF(ISBLANK(A156), "", (B156 * XLOOKUP(C156, 'Fees &amp; Postage Table'!A:A, 'Fees &amp; Postage Table'!C:C, 0)) + XLOOKUP(C156, 'Fees &amp; Postage Table'!A:A, 'Fees &amp; Postage Table'!B:B, 0))</f>
        <v/>
      </c>
      <c r="G156">
        <f>IF(ISBLANK(A156), "", XLOOKUP(C156, 'Fees &amp; Postage Table'!A:A, 'Fees &amp; Postage Table'!D:D, 0))</f>
        <v/>
      </c>
      <c r="H156">
        <f>IF(ISBLANK(A156), "", B156 - E156 - F156 - G156)</f>
        <v/>
      </c>
      <c r="I156">
        <f>IF(ISBLANK(A156), "", D156 - XLOOKUP(A156, Inventory!A:A, Inventory!H:H, TODAY()))</f>
        <v/>
      </c>
    </row>
    <row r="157">
      <c r="E157">
        <f>IF(ISBLANK(A157), "", XLOOKUP(A157, Inventory!A:A, Inventory!E:E, 0))</f>
        <v/>
      </c>
      <c r="F157">
        <f>IF(ISBLANK(A157), "", (B157 * XLOOKUP(C157, 'Fees &amp; Postage Table'!A:A, 'Fees &amp; Postage Table'!C:C, 0)) + XLOOKUP(C157, 'Fees &amp; Postage Table'!A:A, 'Fees &amp; Postage Table'!B:B, 0))</f>
        <v/>
      </c>
      <c r="G157">
        <f>IF(ISBLANK(A157), "", XLOOKUP(C157, 'Fees &amp; Postage Table'!A:A, 'Fees &amp; Postage Table'!D:D, 0))</f>
        <v/>
      </c>
      <c r="H157">
        <f>IF(ISBLANK(A157), "", B157 - E157 - F157 - G157)</f>
        <v/>
      </c>
      <c r="I157">
        <f>IF(ISBLANK(A157), "", D157 - XLOOKUP(A157, Inventory!A:A, Inventory!H:H, TODAY()))</f>
        <v/>
      </c>
    </row>
    <row r="158">
      <c r="E158">
        <f>IF(ISBLANK(A158), "", XLOOKUP(A158, Inventory!A:A, Inventory!E:E, 0))</f>
        <v/>
      </c>
      <c r="F158">
        <f>IF(ISBLANK(A158), "", (B158 * XLOOKUP(C158, 'Fees &amp; Postage Table'!A:A, 'Fees &amp; Postage Table'!C:C, 0)) + XLOOKUP(C158, 'Fees &amp; Postage Table'!A:A, 'Fees &amp; Postage Table'!B:B, 0))</f>
        <v/>
      </c>
      <c r="G158">
        <f>IF(ISBLANK(A158), "", XLOOKUP(C158, 'Fees &amp; Postage Table'!A:A, 'Fees &amp; Postage Table'!D:D, 0))</f>
        <v/>
      </c>
      <c r="H158">
        <f>IF(ISBLANK(A158), "", B158 - E158 - F158 - G158)</f>
        <v/>
      </c>
      <c r="I158">
        <f>IF(ISBLANK(A158), "", D158 - XLOOKUP(A158, Inventory!A:A, Inventory!H:H, TODAY()))</f>
        <v/>
      </c>
    </row>
    <row r="159">
      <c r="E159">
        <f>IF(ISBLANK(A159), "", XLOOKUP(A159, Inventory!A:A, Inventory!E:E, 0))</f>
        <v/>
      </c>
      <c r="F159">
        <f>IF(ISBLANK(A159), "", (B159 * XLOOKUP(C159, 'Fees &amp; Postage Table'!A:A, 'Fees &amp; Postage Table'!C:C, 0)) + XLOOKUP(C159, 'Fees &amp; Postage Table'!A:A, 'Fees &amp; Postage Table'!B:B, 0))</f>
        <v/>
      </c>
      <c r="G159">
        <f>IF(ISBLANK(A159), "", XLOOKUP(C159, 'Fees &amp; Postage Table'!A:A, 'Fees &amp; Postage Table'!D:D, 0))</f>
        <v/>
      </c>
      <c r="H159">
        <f>IF(ISBLANK(A159), "", B159 - E159 - F159 - G159)</f>
        <v/>
      </c>
      <c r="I159">
        <f>IF(ISBLANK(A159), "", D159 - XLOOKUP(A159, Inventory!A:A, Inventory!H:H, TODAY()))</f>
        <v/>
      </c>
    </row>
    <row r="160">
      <c r="E160">
        <f>IF(ISBLANK(A160), "", XLOOKUP(A160, Inventory!A:A, Inventory!E:E, 0))</f>
        <v/>
      </c>
      <c r="F160">
        <f>IF(ISBLANK(A160), "", (B160 * XLOOKUP(C160, 'Fees &amp; Postage Table'!A:A, 'Fees &amp; Postage Table'!C:C, 0)) + XLOOKUP(C160, 'Fees &amp; Postage Table'!A:A, 'Fees &amp; Postage Table'!B:B, 0))</f>
        <v/>
      </c>
      <c r="G160">
        <f>IF(ISBLANK(A160), "", XLOOKUP(C160, 'Fees &amp; Postage Table'!A:A, 'Fees &amp; Postage Table'!D:D, 0))</f>
        <v/>
      </c>
      <c r="H160">
        <f>IF(ISBLANK(A160), "", B160 - E160 - F160 - G160)</f>
        <v/>
      </c>
      <c r="I160">
        <f>IF(ISBLANK(A160), "", D160 - XLOOKUP(A160, Inventory!A:A, Inventory!H:H, TODAY()))</f>
        <v/>
      </c>
    </row>
    <row r="161">
      <c r="E161">
        <f>IF(ISBLANK(A161), "", XLOOKUP(A161, Inventory!A:A, Inventory!E:E, 0))</f>
        <v/>
      </c>
      <c r="F161">
        <f>IF(ISBLANK(A161), "", (B161 * XLOOKUP(C161, 'Fees &amp; Postage Table'!A:A, 'Fees &amp; Postage Table'!C:C, 0)) + XLOOKUP(C161, 'Fees &amp; Postage Table'!A:A, 'Fees &amp; Postage Table'!B:B, 0))</f>
        <v/>
      </c>
      <c r="G161">
        <f>IF(ISBLANK(A161), "", XLOOKUP(C161, 'Fees &amp; Postage Table'!A:A, 'Fees &amp; Postage Table'!D:D, 0))</f>
        <v/>
      </c>
      <c r="H161">
        <f>IF(ISBLANK(A161), "", B161 - E161 - F161 - G161)</f>
        <v/>
      </c>
      <c r="I161">
        <f>IF(ISBLANK(A161), "", D161 - XLOOKUP(A161, Inventory!A:A, Inventory!H:H, TODAY()))</f>
        <v/>
      </c>
    </row>
    <row r="162">
      <c r="E162">
        <f>IF(ISBLANK(A162), "", XLOOKUP(A162, Inventory!A:A, Inventory!E:E, 0))</f>
        <v/>
      </c>
      <c r="F162">
        <f>IF(ISBLANK(A162), "", (B162 * XLOOKUP(C162, 'Fees &amp; Postage Table'!A:A, 'Fees &amp; Postage Table'!C:C, 0)) + XLOOKUP(C162, 'Fees &amp; Postage Table'!A:A, 'Fees &amp; Postage Table'!B:B, 0))</f>
        <v/>
      </c>
      <c r="G162">
        <f>IF(ISBLANK(A162), "", XLOOKUP(C162, 'Fees &amp; Postage Table'!A:A, 'Fees &amp; Postage Table'!D:D, 0))</f>
        <v/>
      </c>
      <c r="H162">
        <f>IF(ISBLANK(A162), "", B162 - E162 - F162 - G162)</f>
        <v/>
      </c>
      <c r="I162">
        <f>IF(ISBLANK(A162), "", D162 - XLOOKUP(A162, Inventory!A:A, Inventory!H:H, TODAY()))</f>
        <v/>
      </c>
    </row>
    <row r="163">
      <c r="E163">
        <f>IF(ISBLANK(A163), "", XLOOKUP(A163, Inventory!A:A, Inventory!E:E, 0))</f>
        <v/>
      </c>
      <c r="F163">
        <f>IF(ISBLANK(A163), "", (B163 * XLOOKUP(C163, 'Fees &amp; Postage Table'!A:A, 'Fees &amp; Postage Table'!C:C, 0)) + XLOOKUP(C163, 'Fees &amp; Postage Table'!A:A, 'Fees &amp; Postage Table'!B:B, 0))</f>
        <v/>
      </c>
      <c r="G163">
        <f>IF(ISBLANK(A163), "", XLOOKUP(C163, 'Fees &amp; Postage Table'!A:A, 'Fees &amp; Postage Table'!D:D, 0))</f>
        <v/>
      </c>
      <c r="H163">
        <f>IF(ISBLANK(A163), "", B163 - E163 - F163 - G163)</f>
        <v/>
      </c>
      <c r="I163">
        <f>IF(ISBLANK(A163), "", D163 - XLOOKUP(A163, Inventory!A:A, Inventory!H:H, TODAY()))</f>
        <v/>
      </c>
    </row>
    <row r="164">
      <c r="E164">
        <f>IF(ISBLANK(A164), "", XLOOKUP(A164, Inventory!A:A, Inventory!E:E, 0))</f>
        <v/>
      </c>
      <c r="F164">
        <f>IF(ISBLANK(A164), "", (B164 * XLOOKUP(C164, 'Fees &amp; Postage Table'!A:A, 'Fees &amp; Postage Table'!C:C, 0)) + XLOOKUP(C164, 'Fees &amp; Postage Table'!A:A, 'Fees &amp; Postage Table'!B:B, 0))</f>
        <v/>
      </c>
      <c r="G164">
        <f>IF(ISBLANK(A164), "", XLOOKUP(C164, 'Fees &amp; Postage Table'!A:A, 'Fees &amp; Postage Table'!D:D, 0))</f>
        <v/>
      </c>
      <c r="H164">
        <f>IF(ISBLANK(A164), "", B164 - E164 - F164 - G164)</f>
        <v/>
      </c>
      <c r="I164">
        <f>IF(ISBLANK(A164), "", D164 - XLOOKUP(A164, Inventory!A:A, Inventory!H:H, TODAY()))</f>
        <v/>
      </c>
    </row>
    <row r="165">
      <c r="E165">
        <f>IF(ISBLANK(A165), "", XLOOKUP(A165, Inventory!A:A, Inventory!E:E, 0))</f>
        <v/>
      </c>
      <c r="F165">
        <f>IF(ISBLANK(A165), "", (B165 * XLOOKUP(C165, 'Fees &amp; Postage Table'!A:A, 'Fees &amp; Postage Table'!C:C, 0)) + XLOOKUP(C165, 'Fees &amp; Postage Table'!A:A, 'Fees &amp; Postage Table'!B:B, 0))</f>
        <v/>
      </c>
      <c r="G165">
        <f>IF(ISBLANK(A165), "", XLOOKUP(C165, 'Fees &amp; Postage Table'!A:A, 'Fees &amp; Postage Table'!D:D, 0))</f>
        <v/>
      </c>
      <c r="H165">
        <f>IF(ISBLANK(A165), "", B165 - E165 - F165 - G165)</f>
        <v/>
      </c>
      <c r="I165">
        <f>IF(ISBLANK(A165), "", D165 - XLOOKUP(A165, Inventory!A:A, Inventory!H:H, TODAY()))</f>
        <v/>
      </c>
    </row>
    <row r="166">
      <c r="E166">
        <f>IF(ISBLANK(A166), "", XLOOKUP(A166, Inventory!A:A, Inventory!E:E, 0))</f>
        <v/>
      </c>
      <c r="F166">
        <f>IF(ISBLANK(A166), "", (B166 * XLOOKUP(C166, 'Fees &amp; Postage Table'!A:A, 'Fees &amp; Postage Table'!C:C, 0)) + XLOOKUP(C166, 'Fees &amp; Postage Table'!A:A, 'Fees &amp; Postage Table'!B:B, 0))</f>
        <v/>
      </c>
      <c r="G166">
        <f>IF(ISBLANK(A166), "", XLOOKUP(C166, 'Fees &amp; Postage Table'!A:A, 'Fees &amp; Postage Table'!D:D, 0))</f>
        <v/>
      </c>
      <c r="H166">
        <f>IF(ISBLANK(A166), "", B166 - E166 - F166 - G166)</f>
        <v/>
      </c>
      <c r="I166">
        <f>IF(ISBLANK(A166), "", D166 - XLOOKUP(A166, Inventory!A:A, Inventory!H:H, TODAY()))</f>
        <v/>
      </c>
    </row>
    <row r="167">
      <c r="E167">
        <f>IF(ISBLANK(A167), "", XLOOKUP(A167, Inventory!A:A, Inventory!E:E, 0))</f>
        <v/>
      </c>
      <c r="F167">
        <f>IF(ISBLANK(A167), "", (B167 * XLOOKUP(C167, 'Fees &amp; Postage Table'!A:A, 'Fees &amp; Postage Table'!C:C, 0)) + XLOOKUP(C167, 'Fees &amp; Postage Table'!A:A, 'Fees &amp; Postage Table'!B:B, 0))</f>
        <v/>
      </c>
      <c r="G167">
        <f>IF(ISBLANK(A167), "", XLOOKUP(C167, 'Fees &amp; Postage Table'!A:A, 'Fees &amp; Postage Table'!D:D, 0))</f>
        <v/>
      </c>
      <c r="H167">
        <f>IF(ISBLANK(A167), "", B167 - E167 - F167 - G167)</f>
        <v/>
      </c>
      <c r="I167">
        <f>IF(ISBLANK(A167), "", D167 - XLOOKUP(A167, Inventory!A:A, Inventory!H:H, TODAY()))</f>
        <v/>
      </c>
    </row>
    <row r="168">
      <c r="E168">
        <f>IF(ISBLANK(A168), "", XLOOKUP(A168, Inventory!A:A, Inventory!E:E, 0))</f>
        <v/>
      </c>
      <c r="F168">
        <f>IF(ISBLANK(A168), "", (B168 * XLOOKUP(C168, 'Fees &amp; Postage Table'!A:A, 'Fees &amp; Postage Table'!C:C, 0)) + XLOOKUP(C168, 'Fees &amp; Postage Table'!A:A, 'Fees &amp; Postage Table'!B:B, 0))</f>
        <v/>
      </c>
      <c r="G168">
        <f>IF(ISBLANK(A168), "", XLOOKUP(C168, 'Fees &amp; Postage Table'!A:A, 'Fees &amp; Postage Table'!D:D, 0))</f>
        <v/>
      </c>
      <c r="H168">
        <f>IF(ISBLANK(A168), "", B168 - E168 - F168 - G168)</f>
        <v/>
      </c>
      <c r="I168">
        <f>IF(ISBLANK(A168), "", D168 - XLOOKUP(A168, Inventory!A:A, Inventory!H:H, TODAY()))</f>
        <v/>
      </c>
    </row>
    <row r="169">
      <c r="E169">
        <f>IF(ISBLANK(A169), "", XLOOKUP(A169, Inventory!A:A, Inventory!E:E, 0))</f>
        <v/>
      </c>
      <c r="F169">
        <f>IF(ISBLANK(A169), "", (B169 * XLOOKUP(C169, 'Fees &amp; Postage Table'!A:A, 'Fees &amp; Postage Table'!C:C, 0)) + XLOOKUP(C169, 'Fees &amp; Postage Table'!A:A, 'Fees &amp; Postage Table'!B:B, 0))</f>
        <v/>
      </c>
      <c r="G169">
        <f>IF(ISBLANK(A169), "", XLOOKUP(C169, 'Fees &amp; Postage Table'!A:A, 'Fees &amp; Postage Table'!D:D, 0))</f>
        <v/>
      </c>
      <c r="H169">
        <f>IF(ISBLANK(A169), "", B169 - E169 - F169 - G169)</f>
        <v/>
      </c>
      <c r="I169">
        <f>IF(ISBLANK(A169), "", D169 - XLOOKUP(A169, Inventory!A:A, Inventory!H:H, TODAY()))</f>
        <v/>
      </c>
    </row>
    <row r="170">
      <c r="E170">
        <f>IF(ISBLANK(A170), "", XLOOKUP(A170, Inventory!A:A, Inventory!E:E, 0))</f>
        <v/>
      </c>
      <c r="F170">
        <f>IF(ISBLANK(A170), "", (B170 * XLOOKUP(C170, 'Fees &amp; Postage Table'!A:A, 'Fees &amp; Postage Table'!C:C, 0)) + XLOOKUP(C170, 'Fees &amp; Postage Table'!A:A, 'Fees &amp; Postage Table'!B:B, 0))</f>
        <v/>
      </c>
      <c r="G170">
        <f>IF(ISBLANK(A170), "", XLOOKUP(C170, 'Fees &amp; Postage Table'!A:A, 'Fees &amp; Postage Table'!D:D, 0))</f>
        <v/>
      </c>
      <c r="H170">
        <f>IF(ISBLANK(A170), "", B170 - E170 - F170 - G170)</f>
        <v/>
      </c>
      <c r="I170">
        <f>IF(ISBLANK(A170), "", D170 - XLOOKUP(A170, Inventory!A:A, Inventory!H:H, TODAY()))</f>
        <v/>
      </c>
    </row>
    <row r="171">
      <c r="E171">
        <f>IF(ISBLANK(A171), "", XLOOKUP(A171, Inventory!A:A, Inventory!E:E, 0))</f>
        <v/>
      </c>
      <c r="F171">
        <f>IF(ISBLANK(A171), "", (B171 * XLOOKUP(C171, 'Fees &amp; Postage Table'!A:A, 'Fees &amp; Postage Table'!C:C, 0)) + XLOOKUP(C171, 'Fees &amp; Postage Table'!A:A, 'Fees &amp; Postage Table'!B:B, 0))</f>
        <v/>
      </c>
      <c r="G171">
        <f>IF(ISBLANK(A171), "", XLOOKUP(C171, 'Fees &amp; Postage Table'!A:A, 'Fees &amp; Postage Table'!D:D, 0))</f>
        <v/>
      </c>
      <c r="H171">
        <f>IF(ISBLANK(A171), "", B171 - E171 - F171 - G171)</f>
        <v/>
      </c>
      <c r="I171">
        <f>IF(ISBLANK(A171), "", D171 - XLOOKUP(A171, Inventory!A:A, Inventory!H:H, TODAY()))</f>
        <v/>
      </c>
    </row>
    <row r="172">
      <c r="E172">
        <f>IF(ISBLANK(A172), "", XLOOKUP(A172, Inventory!A:A, Inventory!E:E, 0))</f>
        <v/>
      </c>
      <c r="F172">
        <f>IF(ISBLANK(A172), "", (B172 * XLOOKUP(C172, 'Fees &amp; Postage Table'!A:A, 'Fees &amp; Postage Table'!C:C, 0)) + XLOOKUP(C172, 'Fees &amp; Postage Table'!A:A, 'Fees &amp; Postage Table'!B:B, 0))</f>
        <v/>
      </c>
      <c r="G172">
        <f>IF(ISBLANK(A172), "", XLOOKUP(C172, 'Fees &amp; Postage Table'!A:A, 'Fees &amp; Postage Table'!D:D, 0))</f>
        <v/>
      </c>
      <c r="H172">
        <f>IF(ISBLANK(A172), "", B172 - E172 - F172 - G172)</f>
        <v/>
      </c>
      <c r="I172">
        <f>IF(ISBLANK(A172), "", D172 - XLOOKUP(A172, Inventory!A:A, Inventory!H:H, TODAY()))</f>
        <v/>
      </c>
    </row>
    <row r="173">
      <c r="E173">
        <f>IF(ISBLANK(A173), "", XLOOKUP(A173, Inventory!A:A, Inventory!E:E, 0))</f>
        <v/>
      </c>
      <c r="F173">
        <f>IF(ISBLANK(A173), "", (B173 * XLOOKUP(C173, 'Fees &amp; Postage Table'!A:A, 'Fees &amp; Postage Table'!C:C, 0)) + XLOOKUP(C173, 'Fees &amp; Postage Table'!A:A, 'Fees &amp; Postage Table'!B:B, 0))</f>
        <v/>
      </c>
      <c r="G173">
        <f>IF(ISBLANK(A173), "", XLOOKUP(C173, 'Fees &amp; Postage Table'!A:A, 'Fees &amp; Postage Table'!D:D, 0))</f>
        <v/>
      </c>
      <c r="H173">
        <f>IF(ISBLANK(A173), "", B173 - E173 - F173 - G173)</f>
        <v/>
      </c>
      <c r="I173">
        <f>IF(ISBLANK(A173), "", D173 - XLOOKUP(A173, Inventory!A:A, Inventory!H:H, TODAY()))</f>
        <v/>
      </c>
    </row>
    <row r="174">
      <c r="E174">
        <f>IF(ISBLANK(A174), "", XLOOKUP(A174, Inventory!A:A, Inventory!E:E, 0))</f>
        <v/>
      </c>
      <c r="F174">
        <f>IF(ISBLANK(A174), "", (B174 * XLOOKUP(C174, 'Fees &amp; Postage Table'!A:A, 'Fees &amp; Postage Table'!C:C, 0)) + XLOOKUP(C174, 'Fees &amp; Postage Table'!A:A, 'Fees &amp; Postage Table'!B:B, 0))</f>
        <v/>
      </c>
      <c r="G174">
        <f>IF(ISBLANK(A174), "", XLOOKUP(C174, 'Fees &amp; Postage Table'!A:A, 'Fees &amp; Postage Table'!D:D, 0))</f>
        <v/>
      </c>
      <c r="H174">
        <f>IF(ISBLANK(A174), "", B174 - E174 - F174 - G174)</f>
        <v/>
      </c>
      <c r="I174">
        <f>IF(ISBLANK(A174), "", D174 - XLOOKUP(A174, Inventory!A:A, Inventory!H:H, TODAY()))</f>
        <v/>
      </c>
    </row>
    <row r="175">
      <c r="E175">
        <f>IF(ISBLANK(A175), "", XLOOKUP(A175, Inventory!A:A, Inventory!E:E, 0))</f>
        <v/>
      </c>
      <c r="F175">
        <f>IF(ISBLANK(A175), "", (B175 * XLOOKUP(C175, 'Fees &amp; Postage Table'!A:A, 'Fees &amp; Postage Table'!C:C, 0)) + XLOOKUP(C175, 'Fees &amp; Postage Table'!A:A, 'Fees &amp; Postage Table'!B:B, 0))</f>
        <v/>
      </c>
      <c r="G175">
        <f>IF(ISBLANK(A175), "", XLOOKUP(C175, 'Fees &amp; Postage Table'!A:A, 'Fees &amp; Postage Table'!D:D, 0))</f>
        <v/>
      </c>
      <c r="H175">
        <f>IF(ISBLANK(A175), "", B175 - E175 - F175 - G175)</f>
        <v/>
      </c>
      <c r="I175">
        <f>IF(ISBLANK(A175), "", D175 - XLOOKUP(A175, Inventory!A:A, Inventory!H:H, TODAY()))</f>
        <v/>
      </c>
    </row>
    <row r="176">
      <c r="E176">
        <f>IF(ISBLANK(A176), "", XLOOKUP(A176, Inventory!A:A, Inventory!E:E, 0))</f>
        <v/>
      </c>
      <c r="F176">
        <f>IF(ISBLANK(A176), "", (B176 * XLOOKUP(C176, 'Fees &amp; Postage Table'!A:A, 'Fees &amp; Postage Table'!C:C, 0)) + XLOOKUP(C176, 'Fees &amp; Postage Table'!A:A, 'Fees &amp; Postage Table'!B:B, 0))</f>
        <v/>
      </c>
      <c r="G176">
        <f>IF(ISBLANK(A176), "", XLOOKUP(C176, 'Fees &amp; Postage Table'!A:A, 'Fees &amp; Postage Table'!D:D, 0))</f>
        <v/>
      </c>
      <c r="H176">
        <f>IF(ISBLANK(A176), "", B176 - E176 - F176 - G176)</f>
        <v/>
      </c>
      <c r="I176">
        <f>IF(ISBLANK(A176), "", D176 - XLOOKUP(A176, Inventory!A:A, Inventory!H:H, TODAY()))</f>
        <v/>
      </c>
    </row>
    <row r="177">
      <c r="E177">
        <f>IF(ISBLANK(A177), "", XLOOKUP(A177, Inventory!A:A, Inventory!E:E, 0))</f>
        <v/>
      </c>
      <c r="F177">
        <f>IF(ISBLANK(A177), "", (B177 * XLOOKUP(C177, 'Fees &amp; Postage Table'!A:A, 'Fees &amp; Postage Table'!C:C, 0)) + XLOOKUP(C177, 'Fees &amp; Postage Table'!A:A, 'Fees &amp; Postage Table'!B:B, 0))</f>
        <v/>
      </c>
      <c r="G177">
        <f>IF(ISBLANK(A177), "", XLOOKUP(C177, 'Fees &amp; Postage Table'!A:A, 'Fees &amp; Postage Table'!D:D, 0))</f>
        <v/>
      </c>
      <c r="H177">
        <f>IF(ISBLANK(A177), "", B177 - E177 - F177 - G177)</f>
        <v/>
      </c>
      <c r="I177">
        <f>IF(ISBLANK(A177), "", D177 - XLOOKUP(A177, Inventory!A:A, Inventory!H:H, TODAY()))</f>
        <v/>
      </c>
    </row>
    <row r="178">
      <c r="E178">
        <f>IF(ISBLANK(A178), "", XLOOKUP(A178, Inventory!A:A, Inventory!E:E, 0))</f>
        <v/>
      </c>
      <c r="F178">
        <f>IF(ISBLANK(A178), "", (B178 * XLOOKUP(C178, 'Fees &amp; Postage Table'!A:A, 'Fees &amp; Postage Table'!C:C, 0)) + XLOOKUP(C178, 'Fees &amp; Postage Table'!A:A, 'Fees &amp; Postage Table'!B:B, 0))</f>
        <v/>
      </c>
      <c r="G178">
        <f>IF(ISBLANK(A178), "", XLOOKUP(C178, 'Fees &amp; Postage Table'!A:A, 'Fees &amp; Postage Table'!D:D, 0))</f>
        <v/>
      </c>
      <c r="H178">
        <f>IF(ISBLANK(A178), "", B178 - E178 - F178 - G178)</f>
        <v/>
      </c>
      <c r="I178">
        <f>IF(ISBLANK(A178), "", D178 - XLOOKUP(A178, Inventory!A:A, Inventory!H:H, TODAY()))</f>
        <v/>
      </c>
    </row>
    <row r="179">
      <c r="E179">
        <f>IF(ISBLANK(A179), "", XLOOKUP(A179, Inventory!A:A, Inventory!E:E, 0))</f>
        <v/>
      </c>
      <c r="F179">
        <f>IF(ISBLANK(A179), "", (B179 * XLOOKUP(C179, 'Fees &amp; Postage Table'!A:A, 'Fees &amp; Postage Table'!C:C, 0)) + XLOOKUP(C179, 'Fees &amp; Postage Table'!A:A, 'Fees &amp; Postage Table'!B:B, 0))</f>
        <v/>
      </c>
      <c r="G179">
        <f>IF(ISBLANK(A179), "", XLOOKUP(C179, 'Fees &amp; Postage Table'!A:A, 'Fees &amp; Postage Table'!D:D, 0))</f>
        <v/>
      </c>
      <c r="H179">
        <f>IF(ISBLANK(A179), "", B179 - E179 - F179 - G179)</f>
        <v/>
      </c>
      <c r="I179">
        <f>IF(ISBLANK(A179), "", D179 - XLOOKUP(A179, Inventory!A:A, Inventory!H:H, TODAY()))</f>
        <v/>
      </c>
    </row>
    <row r="180">
      <c r="E180">
        <f>IF(ISBLANK(A180), "", XLOOKUP(A180, Inventory!A:A, Inventory!E:E, 0))</f>
        <v/>
      </c>
      <c r="F180">
        <f>IF(ISBLANK(A180), "", (B180 * XLOOKUP(C180, 'Fees &amp; Postage Table'!A:A, 'Fees &amp; Postage Table'!C:C, 0)) + XLOOKUP(C180, 'Fees &amp; Postage Table'!A:A, 'Fees &amp; Postage Table'!B:B, 0))</f>
        <v/>
      </c>
      <c r="G180">
        <f>IF(ISBLANK(A180), "", XLOOKUP(C180, 'Fees &amp; Postage Table'!A:A, 'Fees &amp; Postage Table'!D:D, 0))</f>
        <v/>
      </c>
      <c r="H180">
        <f>IF(ISBLANK(A180), "", B180 - E180 - F180 - G180)</f>
        <v/>
      </c>
      <c r="I180">
        <f>IF(ISBLANK(A180), "", D180 - XLOOKUP(A180, Inventory!A:A, Inventory!H:H, TODAY()))</f>
        <v/>
      </c>
    </row>
    <row r="181">
      <c r="E181">
        <f>IF(ISBLANK(A181), "", XLOOKUP(A181, Inventory!A:A, Inventory!E:E, 0))</f>
        <v/>
      </c>
      <c r="F181">
        <f>IF(ISBLANK(A181), "", (B181 * XLOOKUP(C181, 'Fees &amp; Postage Table'!A:A, 'Fees &amp; Postage Table'!C:C, 0)) + XLOOKUP(C181, 'Fees &amp; Postage Table'!A:A, 'Fees &amp; Postage Table'!B:B, 0))</f>
        <v/>
      </c>
      <c r="G181">
        <f>IF(ISBLANK(A181), "", XLOOKUP(C181, 'Fees &amp; Postage Table'!A:A, 'Fees &amp; Postage Table'!D:D, 0))</f>
        <v/>
      </c>
      <c r="H181">
        <f>IF(ISBLANK(A181), "", B181 - E181 - F181 - G181)</f>
        <v/>
      </c>
      <c r="I181">
        <f>IF(ISBLANK(A181), "", D181 - XLOOKUP(A181, Inventory!A:A, Inventory!H:H, TODAY()))</f>
        <v/>
      </c>
    </row>
    <row r="182">
      <c r="E182">
        <f>IF(ISBLANK(A182), "", XLOOKUP(A182, Inventory!A:A, Inventory!E:E, 0))</f>
        <v/>
      </c>
      <c r="F182">
        <f>IF(ISBLANK(A182), "", (B182 * XLOOKUP(C182, 'Fees &amp; Postage Table'!A:A, 'Fees &amp; Postage Table'!C:C, 0)) + XLOOKUP(C182, 'Fees &amp; Postage Table'!A:A, 'Fees &amp; Postage Table'!B:B, 0))</f>
        <v/>
      </c>
      <c r="G182">
        <f>IF(ISBLANK(A182), "", XLOOKUP(C182, 'Fees &amp; Postage Table'!A:A, 'Fees &amp; Postage Table'!D:D, 0))</f>
        <v/>
      </c>
      <c r="H182">
        <f>IF(ISBLANK(A182), "", B182 - E182 - F182 - G182)</f>
        <v/>
      </c>
      <c r="I182">
        <f>IF(ISBLANK(A182), "", D182 - XLOOKUP(A182, Inventory!A:A, Inventory!H:H, TODAY()))</f>
        <v/>
      </c>
    </row>
    <row r="183">
      <c r="E183">
        <f>IF(ISBLANK(A183), "", XLOOKUP(A183, Inventory!A:A, Inventory!E:E, 0))</f>
        <v/>
      </c>
      <c r="F183">
        <f>IF(ISBLANK(A183), "", (B183 * XLOOKUP(C183, 'Fees &amp; Postage Table'!A:A, 'Fees &amp; Postage Table'!C:C, 0)) + XLOOKUP(C183, 'Fees &amp; Postage Table'!A:A, 'Fees &amp; Postage Table'!B:B, 0))</f>
        <v/>
      </c>
      <c r="G183">
        <f>IF(ISBLANK(A183), "", XLOOKUP(C183, 'Fees &amp; Postage Table'!A:A, 'Fees &amp; Postage Table'!D:D, 0))</f>
        <v/>
      </c>
      <c r="H183">
        <f>IF(ISBLANK(A183), "", B183 - E183 - F183 - G183)</f>
        <v/>
      </c>
      <c r="I183">
        <f>IF(ISBLANK(A183), "", D183 - XLOOKUP(A183, Inventory!A:A, Inventory!H:H, TODAY()))</f>
        <v/>
      </c>
    </row>
    <row r="184">
      <c r="E184">
        <f>IF(ISBLANK(A184), "", XLOOKUP(A184, Inventory!A:A, Inventory!E:E, 0))</f>
        <v/>
      </c>
      <c r="F184">
        <f>IF(ISBLANK(A184), "", (B184 * XLOOKUP(C184, 'Fees &amp; Postage Table'!A:A, 'Fees &amp; Postage Table'!C:C, 0)) + XLOOKUP(C184, 'Fees &amp; Postage Table'!A:A, 'Fees &amp; Postage Table'!B:B, 0))</f>
        <v/>
      </c>
      <c r="G184">
        <f>IF(ISBLANK(A184), "", XLOOKUP(C184, 'Fees &amp; Postage Table'!A:A, 'Fees &amp; Postage Table'!D:D, 0))</f>
        <v/>
      </c>
      <c r="H184">
        <f>IF(ISBLANK(A184), "", B184 - E184 - F184 - G184)</f>
        <v/>
      </c>
      <c r="I184">
        <f>IF(ISBLANK(A184), "", D184 - XLOOKUP(A184, Inventory!A:A, Inventory!H:H, TODAY()))</f>
        <v/>
      </c>
    </row>
    <row r="185">
      <c r="E185">
        <f>IF(ISBLANK(A185), "", XLOOKUP(A185, Inventory!A:A, Inventory!E:E, 0))</f>
        <v/>
      </c>
      <c r="F185">
        <f>IF(ISBLANK(A185), "", (B185 * XLOOKUP(C185, 'Fees &amp; Postage Table'!A:A, 'Fees &amp; Postage Table'!C:C, 0)) + XLOOKUP(C185, 'Fees &amp; Postage Table'!A:A, 'Fees &amp; Postage Table'!B:B, 0))</f>
        <v/>
      </c>
      <c r="G185">
        <f>IF(ISBLANK(A185), "", XLOOKUP(C185, 'Fees &amp; Postage Table'!A:A, 'Fees &amp; Postage Table'!D:D, 0))</f>
        <v/>
      </c>
      <c r="H185">
        <f>IF(ISBLANK(A185), "", B185 - E185 - F185 - G185)</f>
        <v/>
      </c>
      <c r="I185">
        <f>IF(ISBLANK(A185), "", D185 - XLOOKUP(A185, Inventory!A:A, Inventory!H:H, TODAY()))</f>
        <v/>
      </c>
    </row>
    <row r="186">
      <c r="E186">
        <f>IF(ISBLANK(A186), "", XLOOKUP(A186, Inventory!A:A, Inventory!E:E, 0))</f>
        <v/>
      </c>
      <c r="F186">
        <f>IF(ISBLANK(A186), "", (B186 * XLOOKUP(C186, 'Fees &amp; Postage Table'!A:A, 'Fees &amp; Postage Table'!C:C, 0)) + XLOOKUP(C186, 'Fees &amp; Postage Table'!A:A, 'Fees &amp; Postage Table'!B:B, 0))</f>
        <v/>
      </c>
      <c r="G186">
        <f>IF(ISBLANK(A186), "", XLOOKUP(C186, 'Fees &amp; Postage Table'!A:A, 'Fees &amp; Postage Table'!D:D, 0))</f>
        <v/>
      </c>
      <c r="H186">
        <f>IF(ISBLANK(A186), "", B186 - E186 - F186 - G186)</f>
        <v/>
      </c>
      <c r="I186">
        <f>IF(ISBLANK(A186), "", D186 - XLOOKUP(A186, Inventory!A:A, Inventory!H:H, TODAY()))</f>
        <v/>
      </c>
    </row>
    <row r="187">
      <c r="E187">
        <f>IF(ISBLANK(A187), "", XLOOKUP(A187, Inventory!A:A, Inventory!E:E, 0))</f>
        <v/>
      </c>
      <c r="F187">
        <f>IF(ISBLANK(A187), "", (B187 * XLOOKUP(C187, 'Fees &amp; Postage Table'!A:A, 'Fees &amp; Postage Table'!C:C, 0)) + XLOOKUP(C187, 'Fees &amp; Postage Table'!A:A, 'Fees &amp; Postage Table'!B:B, 0))</f>
        <v/>
      </c>
      <c r="G187">
        <f>IF(ISBLANK(A187), "", XLOOKUP(C187, 'Fees &amp; Postage Table'!A:A, 'Fees &amp; Postage Table'!D:D, 0))</f>
        <v/>
      </c>
      <c r="H187">
        <f>IF(ISBLANK(A187), "", B187 - E187 - F187 - G187)</f>
        <v/>
      </c>
      <c r="I187">
        <f>IF(ISBLANK(A187), "", D187 - XLOOKUP(A187, Inventory!A:A, Inventory!H:H, TODAY()))</f>
        <v/>
      </c>
    </row>
    <row r="188">
      <c r="E188">
        <f>IF(ISBLANK(A188), "", XLOOKUP(A188, Inventory!A:A, Inventory!E:E, 0))</f>
        <v/>
      </c>
      <c r="F188">
        <f>IF(ISBLANK(A188), "", (B188 * XLOOKUP(C188, 'Fees &amp; Postage Table'!A:A, 'Fees &amp; Postage Table'!C:C, 0)) + XLOOKUP(C188, 'Fees &amp; Postage Table'!A:A, 'Fees &amp; Postage Table'!B:B, 0))</f>
        <v/>
      </c>
      <c r="G188">
        <f>IF(ISBLANK(A188), "", XLOOKUP(C188, 'Fees &amp; Postage Table'!A:A, 'Fees &amp; Postage Table'!D:D, 0))</f>
        <v/>
      </c>
      <c r="H188">
        <f>IF(ISBLANK(A188), "", B188 - E188 - F188 - G188)</f>
        <v/>
      </c>
      <c r="I188">
        <f>IF(ISBLANK(A188), "", D188 - XLOOKUP(A188, Inventory!A:A, Inventory!H:H, TODAY()))</f>
        <v/>
      </c>
    </row>
    <row r="189">
      <c r="E189">
        <f>IF(ISBLANK(A189), "", XLOOKUP(A189, Inventory!A:A, Inventory!E:E, 0))</f>
        <v/>
      </c>
      <c r="F189">
        <f>IF(ISBLANK(A189), "", (B189 * XLOOKUP(C189, 'Fees &amp; Postage Table'!A:A, 'Fees &amp; Postage Table'!C:C, 0)) + XLOOKUP(C189, 'Fees &amp; Postage Table'!A:A, 'Fees &amp; Postage Table'!B:B, 0))</f>
        <v/>
      </c>
      <c r="G189">
        <f>IF(ISBLANK(A189), "", XLOOKUP(C189, 'Fees &amp; Postage Table'!A:A, 'Fees &amp; Postage Table'!D:D, 0))</f>
        <v/>
      </c>
      <c r="H189">
        <f>IF(ISBLANK(A189), "", B189 - E189 - F189 - G189)</f>
        <v/>
      </c>
      <c r="I189">
        <f>IF(ISBLANK(A189), "", D189 - XLOOKUP(A189, Inventory!A:A, Inventory!H:H, TODAY()))</f>
        <v/>
      </c>
    </row>
    <row r="190">
      <c r="E190">
        <f>IF(ISBLANK(A190), "", XLOOKUP(A190, Inventory!A:A, Inventory!E:E, 0))</f>
        <v/>
      </c>
      <c r="F190">
        <f>IF(ISBLANK(A190), "", (B190 * XLOOKUP(C190, 'Fees &amp; Postage Table'!A:A, 'Fees &amp; Postage Table'!C:C, 0)) + XLOOKUP(C190, 'Fees &amp; Postage Table'!A:A, 'Fees &amp; Postage Table'!B:B, 0))</f>
        <v/>
      </c>
      <c r="G190">
        <f>IF(ISBLANK(A190), "", XLOOKUP(C190, 'Fees &amp; Postage Table'!A:A, 'Fees &amp; Postage Table'!D:D, 0))</f>
        <v/>
      </c>
      <c r="H190">
        <f>IF(ISBLANK(A190), "", B190 - E190 - F190 - G190)</f>
        <v/>
      </c>
      <c r="I190">
        <f>IF(ISBLANK(A190), "", D190 - XLOOKUP(A190, Inventory!A:A, Inventory!H:H, TODAY()))</f>
        <v/>
      </c>
    </row>
    <row r="191">
      <c r="E191">
        <f>IF(ISBLANK(A191), "", XLOOKUP(A191, Inventory!A:A, Inventory!E:E, 0))</f>
        <v/>
      </c>
      <c r="F191">
        <f>IF(ISBLANK(A191), "", (B191 * XLOOKUP(C191, 'Fees &amp; Postage Table'!A:A, 'Fees &amp; Postage Table'!C:C, 0)) + XLOOKUP(C191, 'Fees &amp; Postage Table'!A:A, 'Fees &amp; Postage Table'!B:B, 0))</f>
        <v/>
      </c>
      <c r="G191">
        <f>IF(ISBLANK(A191), "", XLOOKUP(C191, 'Fees &amp; Postage Table'!A:A, 'Fees &amp; Postage Table'!D:D, 0))</f>
        <v/>
      </c>
      <c r="H191">
        <f>IF(ISBLANK(A191), "", B191 - E191 - F191 - G191)</f>
        <v/>
      </c>
      <c r="I191">
        <f>IF(ISBLANK(A191), "", D191 - XLOOKUP(A191, Inventory!A:A, Inventory!H:H, TODAY()))</f>
        <v/>
      </c>
    </row>
    <row r="192">
      <c r="E192">
        <f>IF(ISBLANK(A192), "", XLOOKUP(A192, Inventory!A:A, Inventory!E:E, 0))</f>
        <v/>
      </c>
      <c r="F192">
        <f>IF(ISBLANK(A192), "", (B192 * XLOOKUP(C192, 'Fees &amp; Postage Table'!A:A, 'Fees &amp; Postage Table'!C:C, 0)) + XLOOKUP(C192, 'Fees &amp; Postage Table'!A:A, 'Fees &amp; Postage Table'!B:B, 0))</f>
        <v/>
      </c>
      <c r="G192">
        <f>IF(ISBLANK(A192), "", XLOOKUP(C192, 'Fees &amp; Postage Table'!A:A, 'Fees &amp; Postage Table'!D:D, 0))</f>
        <v/>
      </c>
      <c r="H192">
        <f>IF(ISBLANK(A192), "", B192 - E192 - F192 - G192)</f>
        <v/>
      </c>
      <c r="I192">
        <f>IF(ISBLANK(A192), "", D192 - XLOOKUP(A192, Inventory!A:A, Inventory!H:H, TODAY()))</f>
        <v/>
      </c>
    </row>
    <row r="193">
      <c r="E193">
        <f>IF(ISBLANK(A193), "", XLOOKUP(A193, Inventory!A:A, Inventory!E:E, 0))</f>
        <v/>
      </c>
      <c r="F193">
        <f>IF(ISBLANK(A193), "", (B193 * XLOOKUP(C193, 'Fees &amp; Postage Table'!A:A, 'Fees &amp; Postage Table'!C:C, 0)) + XLOOKUP(C193, 'Fees &amp; Postage Table'!A:A, 'Fees &amp; Postage Table'!B:B, 0))</f>
        <v/>
      </c>
      <c r="G193">
        <f>IF(ISBLANK(A193), "", XLOOKUP(C193, 'Fees &amp; Postage Table'!A:A, 'Fees &amp; Postage Table'!D:D, 0))</f>
        <v/>
      </c>
      <c r="H193">
        <f>IF(ISBLANK(A193), "", B193 - E193 - F193 - G193)</f>
        <v/>
      </c>
      <c r="I193">
        <f>IF(ISBLANK(A193), "", D193 - XLOOKUP(A193, Inventory!A:A, Inventory!H:H, TODAY()))</f>
        <v/>
      </c>
    </row>
    <row r="194">
      <c r="E194">
        <f>IF(ISBLANK(A194), "", XLOOKUP(A194, Inventory!A:A, Inventory!E:E, 0))</f>
        <v/>
      </c>
      <c r="F194">
        <f>IF(ISBLANK(A194), "", (B194 * XLOOKUP(C194, 'Fees &amp; Postage Table'!A:A, 'Fees &amp; Postage Table'!C:C, 0)) + XLOOKUP(C194, 'Fees &amp; Postage Table'!A:A, 'Fees &amp; Postage Table'!B:B, 0))</f>
        <v/>
      </c>
      <c r="G194">
        <f>IF(ISBLANK(A194), "", XLOOKUP(C194, 'Fees &amp; Postage Table'!A:A, 'Fees &amp; Postage Table'!D:D, 0))</f>
        <v/>
      </c>
      <c r="H194">
        <f>IF(ISBLANK(A194), "", B194 - E194 - F194 - G194)</f>
        <v/>
      </c>
      <c r="I194">
        <f>IF(ISBLANK(A194), "", D194 - XLOOKUP(A194, Inventory!A:A, Inventory!H:H, TODAY()))</f>
        <v/>
      </c>
    </row>
    <row r="195">
      <c r="E195">
        <f>IF(ISBLANK(A195), "", XLOOKUP(A195, Inventory!A:A, Inventory!E:E, 0))</f>
        <v/>
      </c>
      <c r="F195">
        <f>IF(ISBLANK(A195), "", (B195 * XLOOKUP(C195, 'Fees &amp; Postage Table'!A:A, 'Fees &amp; Postage Table'!C:C, 0)) + XLOOKUP(C195, 'Fees &amp; Postage Table'!A:A, 'Fees &amp; Postage Table'!B:B, 0))</f>
        <v/>
      </c>
      <c r="G195">
        <f>IF(ISBLANK(A195), "", XLOOKUP(C195, 'Fees &amp; Postage Table'!A:A, 'Fees &amp; Postage Table'!D:D, 0))</f>
        <v/>
      </c>
      <c r="H195">
        <f>IF(ISBLANK(A195), "", B195 - E195 - F195 - G195)</f>
        <v/>
      </c>
      <c r="I195">
        <f>IF(ISBLANK(A195), "", D195 - XLOOKUP(A195, Inventory!A:A, Inventory!H:H, TODAY()))</f>
        <v/>
      </c>
    </row>
    <row r="196">
      <c r="E196">
        <f>IF(ISBLANK(A196), "", XLOOKUP(A196, Inventory!A:A, Inventory!E:E, 0))</f>
        <v/>
      </c>
      <c r="F196">
        <f>IF(ISBLANK(A196), "", (B196 * XLOOKUP(C196, 'Fees &amp; Postage Table'!A:A, 'Fees &amp; Postage Table'!C:C, 0)) + XLOOKUP(C196, 'Fees &amp; Postage Table'!A:A, 'Fees &amp; Postage Table'!B:B, 0))</f>
        <v/>
      </c>
      <c r="G196">
        <f>IF(ISBLANK(A196), "", XLOOKUP(C196, 'Fees &amp; Postage Table'!A:A, 'Fees &amp; Postage Table'!D:D, 0))</f>
        <v/>
      </c>
      <c r="H196">
        <f>IF(ISBLANK(A196), "", B196 - E196 - F196 - G196)</f>
        <v/>
      </c>
      <c r="I196">
        <f>IF(ISBLANK(A196), "", D196 - XLOOKUP(A196, Inventory!A:A, Inventory!H:H, TODAY()))</f>
        <v/>
      </c>
    </row>
    <row r="197">
      <c r="E197">
        <f>IF(ISBLANK(A197), "", XLOOKUP(A197, Inventory!A:A, Inventory!E:E, 0))</f>
        <v/>
      </c>
      <c r="F197">
        <f>IF(ISBLANK(A197), "", (B197 * XLOOKUP(C197, 'Fees &amp; Postage Table'!A:A, 'Fees &amp; Postage Table'!C:C, 0)) + XLOOKUP(C197, 'Fees &amp; Postage Table'!A:A, 'Fees &amp; Postage Table'!B:B, 0))</f>
        <v/>
      </c>
      <c r="G197">
        <f>IF(ISBLANK(A197), "", XLOOKUP(C197, 'Fees &amp; Postage Table'!A:A, 'Fees &amp; Postage Table'!D:D, 0))</f>
        <v/>
      </c>
      <c r="H197">
        <f>IF(ISBLANK(A197), "", B197 - E197 - F197 - G197)</f>
        <v/>
      </c>
      <c r="I197">
        <f>IF(ISBLANK(A197), "", D197 - XLOOKUP(A197, Inventory!A:A, Inventory!H:H, TODAY()))</f>
        <v/>
      </c>
    </row>
    <row r="198">
      <c r="E198">
        <f>IF(ISBLANK(A198), "", XLOOKUP(A198, Inventory!A:A, Inventory!E:E, 0))</f>
        <v/>
      </c>
      <c r="F198">
        <f>IF(ISBLANK(A198), "", (B198 * XLOOKUP(C198, 'Fees &amp; Postage Table'!A:A, 'Fees &amp; Postage Table'!C:C, 0)) + XLOOKUP(C198, 'Fees &amp; Postage Table'!A:A, 'Fees &amp; Postage Table'!B:B, 0))</f>
        <v/>
      </c>
      <c r="G198">
        <f>IF(ISBLANK(A198), "", XLOOKUP(C198, 'Fees &amp; Postage Table'!A:A, 'Fees &amp; Postage Table'!D:D, 0))</f>
        <v/>
      </c>
      <c r="H198">
        <f>IF(ISBLANK(A198), "", B198 - E198 - F198 - G198)</f>
        <v/>
      </c>
      <c r="I198">
        <f>IF(ISBLANK(A198), "", D198 - XLOOKUP(A198, Inventory!A:A, Inventory!H:H, TODAY()))</f>
        <v/>
      </c>
    </row>
    <row r="199">
      <c r="E199">
        <f>IF(ISBLANK(A199), "", XLOOKUP(A199, Inventory!A:A, Inventory!E:E, 0))</f>
        <v/>
      </c>
      <c r="F199">
        <f>IF(ISBLANK(A199), "", (B199 * XLOOKUP(C199, 'Fees &amp; Postage Table'!A:A, 'Fees &amp; Postage Table'!C:C, 0)) + XLOOKUP(C199, 'Fees &amp; Postage Table'!A:A, 'Fees &amp; Postage Table'!B:B, 0))</f>
        <v/>
      </c>
      <c r="G199">
        <f>IF(ISBLANK(A199), "", XLOOKUP(C199, 'Fees &amp; Postage Table'!A:A, 'Fees &amp; Postage Table'!D:D, 0))</f>
        <v/>
      </c>
      <c r="H199">
        <f>IF(ISBLANK(A199), "", B199 - E199 - F199 - G199)</f>
        <v/>
      </c>
      <c r="I199">
        <f>IF(ISBLANK(A199), "", D199 - XLOOKUP(A199, Inventory!A:A, Inventory!H:H, TODAY()))</f>
        <v/>
      </c>
    </row>
    <row r="200">
      <c r="E200">
        <f>IF(ISBLANK(A200), "", XLOOKUP(A200, Inventory!A:A, Inventory!E:E, 0))</f>
        <v/>
      </c>
      <c r="F200">
        <f>IF(ISBLANK(A200), "", (B200 * XLOOKUP(C200, 'Fees &amp; Postage Table'!A:A, 'Fees &amp; Postage Table'!C:C, 0)) + XLOOKUP(C200, 'Fees &amp; Postage Table'!A:A, 'Fees &amp; Postage Table'!B:B, 0))</f>
        <v/>
      </c>
      <c r="G200">
        <f>IF(ISBLANK(A200), "", XLOOKUP(C200, 'Fees &amp; Postage Table'!A:A, 'Fees &amp; Postage Table'!D:D, 0))</f>
        <v/>
      </c>
      <c r="H200">
        <f>IF(ISBLANK(A200), "", B200 - E200 - F200 - G200)</f>
        <v/>
      </c>
      <c r="I200">
        <f>IF(ISBLANK(A200), "", D200 - XLOOKUP(A200, Inventory!A:A, Inventory!H:H, TODAY()))</f>
        <v/>
      </c>
    </row>
    <row r="201">
      <c r="E201">
        <f>IF(ISBLANK(A201), "", XLOOKUP(A201, Inventory!A:A, Inventory!E:E, 0))</f>
        <v/>
      </c>
      <c r="F201">
        <f>IF(ISBLANK(A201), "", (B201 * XLOOKUP(C201, 'Fees &amp; Postage Table'!A:A, 'Fees &amp; Postage Table'!C:C, 0)) + XLOOKUP(C201, 'Fees &amp; Postage Table'!A:A, 'Fees &amp; Postage Table'!B:B, 0))</f>
        <v/>
      </c>
      <c r="G201">
        <f>IF(ISBLANK(A201), "", XLOOKUP(C201, 'Fees &amp; Postage Table'!A:A, 'Fees &amp; Postage Table'!D:D, 0))</f>
        <v/>
      </c>
      <c r="H201">
        <f>IF(ISBLANK(A201), "", B201 - E201 - F201 - G201)</f>
        <v/>
      </c>
      <c r="I201">
        <f>IF(ISBLANK(A201), "", D201 - XLOOKUP(A201, Inventory!A:A, Inventory!H:H, TODAY()))</f>
        <v/>
      </c>
    </row>
    <row r="202">
      <c r="E202">
        <f>IF(ISBLANK(A202), "", XLOOKUP(A202, Inventory!A:A, Inventory!E:E, 0))</f>
        <v/>
      </c>
      <c r="F202">
        <f>IF(ISBLANK(A202), "", (B202 * XLOOKUP(C202, 'Fees &amp; Postage Table'!A:A, 'Fees &amp; Postage Table'!C:C, 0)) + XLOOKUP(C202, 'Fees &amp; Postage Table'!A:A, 'Fees &amp; Postage Table'!B:B, 0))</f>
        <v/>
      </c>
      <c r="G202">
        <f>IF(ISBLANK(A202), "", XLOOKUP(C202, 'Fees &amp; Postage Table'!A:A, 'Fees &amp; Postage Table'!D:D, 0))</f>
        <v/>
      </c>
      <c r="H202">
        <f>IF(ISBLANK(A202), "", B202 - E202 - F202 - G202)</f>
        <v/>
      </c>
      <c r="I202">
        <f>IF(ISBLANK(A202), "", D202 - XLOOKUP(A202, Inventory!A:A, Inventory!H:H, TODAY()))</f>
        <v/>
      </c>
    </row>
    <row r="203">
      <c r="E203">
        <f>IF(ISBLANK(A203), "", XLOOKUP(A203, Inventory!A:A, Inventory!E:E, 0))</f>
        <v/>
      </c>
      <c r="F203">
        <f>IF(ISBLANK(A203), "", (B203 * XLOOKUP(C203, 'Fees &amp; Postage Table'!A:A, 'Fees &amp; Postage Table'!C:C, 0)) + XLOOKUP(C203, 'Fees &amp; Postage Table'!A:A, 'Fees &amp; Postage Table'!B:B, 0))</f>
        <v/>
      </c>
      <c r="G203">
        <f>IF(ISBLANK(A203), "", XLOOKUP(C203, 'Fees &amp; Postage Table'!A:A, 'Fees &amp; Postage Table'!D:D, 0))</f>
        <v/>
      </c>
      <c r="H203">
        <f>IF(ISBLANK(A203), "", B203 - E203 - F203 - G203)</f>
        <v/>
      </c>
      <c r="I203">
        <f>IF(ISBLANK(A203), "", D203 - XLOOKUP(A203, Inventory!A:A, Inventory!H:H, TODAY()))</f>
        <v/>
      </c>
    </row>
    <row r="204">
      <c r="E204">
        <f>IF(ISBLANK(A204), "", XLOOKUP(A204, Inventory!A:A, Inventory!E:E, 0))</f>
        <v/>
      </c>
      <c r="F204">
        <f>IF(ISBLANK(A204), "", (B204 * XLOOKUP(C204, 'Fees &amp; Postage Table'!A:A, 'Fees &amp; Postage Table'!C:C, 0)) + XLOOKUP(C204, 'Fees &amp; Postage Table'!A:A, 'Fees &amp; Postage Table'!B:B, 0))</f>
        <v/>
      </c>
      <c r="G204">
        <f>IF(ISBLANK(A204), "", XLOOKUP(C204, 'Fees &amp; Postage Table'!A:A, 'Fees &amp; Postage Table'!D:D, 0))</f>
        <v/>
      </c>
      <c r="H204">
        <f>IF(ISBLANK(A204), "", B204 - E204 - F204 - G204)</f>
        <v/>
      </c>
      <c r="I204">
        <f>IF(ISBLANK(A204), "", D204 - XLOOKUP(A204, Inventory!A:A, Inventory!H:H, TODAY()))</f>
        <v/>
      </c>
    </row>
    <row r="205">
      <c r="E205">
        <f>IF(ISBLANK(A205), "", XLOOKUP(A205, Inventory!A:A, Inventory!E:E, 0))</f>
        <v/>
      </c>
      <c r="F205">
        <f>IF(ISBLANK(A205), "", (B205 * XLOOKUP(C205, 'Fees &amp; Postage Table'!A:A, 'Fees &amp; Postage Table'!C:C, 0)) + XLOOKUP(C205, 'Fees &amp; Postage Table'!A:A, 'Fees &amp; Postage Table'!B:B, 0))</f>
        <v/>
      </c>
      <c r="G205">
        <f>IF(ISBLANK(A205), "", XLOOKUP(C205, 'Fees &amp; Postage Table'!A:A, 'Fees &amp; Postage Table'!D:D, 0))</f>
        <v/>
      </c>
      <c r="H205">
        <f>IF(ISBLANK(A205), "", B205 - E205 - F205 - G205)</f>
        <v/>
      </c>
      <c r="I205">
        <f>IF(ISBLANK(A205), "", D205 - XLOOKUP(A205, Inventory!A:A, Inventory!H:H, TODAY()))</f>
        <v/>
      </c>
    </row>
    <row r="206">
      <c r="E206">
        <f>IF(ISBLANK(A206), "", XLOOKUP(A206, Inventory!A:A, Inventory!E:E, 0))</f>
        <v/>
      </c>
      <c r="F206">
        <f>IF(ISBLANK(A206), "", (B206 * XLOOKUP(C206, 'Fees &amp; Postage Table'!A:A, 'Fees &amp; Postage Table'!C:C, 0)) + XLOOKUP(C206, 'Fees &amp; Postage Table'!A:A, 'Fees &amp; Postage Table'!B:B, 0))</f>
        <v/>
      </c>
      <c r="G206">
        <f>IF(ISBLANK(A206), "", XLOOKUP(C206, 'Fees &amp; Postage Table'!A:A, 'Fees &amp; Postage Table'!D:D, 0))</f>
        <v/>
      </c>
      <c r="H206">
        <f>IF(ISBLANK(A206), "", B206 - E206 - F206 - G206)</f>
        <v/>
      </c>
      <c r="I206">
        <f>IF(ISBLANK(A206), "", D206 - XLOOKUP(A206, Inventory!A:A, Inventory!H:H, TODAY()))</f>
        <v/>
      </c>
    </row>
    <row r="207">
      <c r="E207">
        <f>IF(ISBLANK(A207), "", XLOOKUP(A207, Inventory!A:A, Inventory!E:E, 0))</f>
        <v/>
      </c>
      <c r="F207">
        <f>IF(ISBLANK(A207), "", (B207 * XLOOKUP(C207, 'Fees &amp; Postage Table'!A:A, 'Fees &amp; Postage Table'!C:C, 0)) + XLOOKUP(C207, 'Fees &amp; Postage Table'!A:A, 'Fees &amp; Postage Table'!B:B, 0))</f>
        <v/>
      </c>
      <c r="G207">
        <f>IF(ISBLANK(A207), "", XLOOKUP(C207, 'Fees &amp; Postage Table'!A:A, 'Fees &amp; Postage Table'!D:D, 0))</f>
        <v/>
      </c>
      <c r="H207">
        <f>IF(ISBLANK(A207), "", B207 - E207 - F207 - G207)</f>
        <v/>
      </c>
      <c r="I207">
        <f>IF(ISBLANK(A207), "", D207 - XLOOKUP(A207, Inventory!A:A, Inventory!H:H, TODAY()))</f>
        <v/>
      </c>
    </row>
    <row r="208">
      <c r="E208">
        <f>IF(ISBLANK(A208), "", XLOOKUP(A208, Inventory!A:A, Inventory!E:E, 0))</f>
        <v/>
      </c>
      <c r="F208">
        <f>IF(ISBLANK(A208), "", (B208 * XLOOKUP(C208, 'Fees &amp; Postage Table'!A:A, 'Fees &amp; Postage Table'!C:C, 0)) + XLOOKUP(C208, 'Fees &amp; Postage Table'!A:A, 'Fees &amp; Postage Table'!B:B, 0))</f>
        <v/>
      </c>
      <c r="G208">
        <f>IF(ISBLANK(A208), "", XLOOKUP(C208, 'Fees &amp; Postage Table'!A:A, 'Fees &amp; Postage Table'!D:D, 0))</f>
        <v/>
      </c>
      <c r="H208">
        <f>IF(ISBLANK(A208), "", B208 - E208 - F208 - G208)</f>
        <v/>
      </c>
      <c r="I208">
        <f>IF(ISBLANK(A208), "", D208 - XLOOKUP(A208, Inventory!A:A, Inventory!H:H, TODAY()))</f>
        <v/>
      </c>
    </row>
    <row r="209">
      <c r="E209">
        <f>IF(ISBLANK(A209), "", XLOOKUP(A209, Inventory!A:A, Inventory!E:E, 0))</f>
        <v/>
      </c>
      <c r="F209">
        <f>IF(ISBLANK(A209), "", (B209 * XLOOKUP(C209, 'Fees &amp; Postage Table'!A:A, 'Fees &amp; Postage Table'!C:C, 0)) + XLOOKUP(C209, 'Fees &amp; Postage Table'!A:A, 'Fees &amp; Postage Table'!B:B, 0))</f>
        <v/>
      </c>
      <c r="G209">
        <f>IF(ISBLANK(A209), "", XLOOKUP(C209, 'Fees &amp; Postage Table'!A:A, 'Fees &amp; Postage Table'!D:D, 0))</f>
        <v/>
      </c>
      <c r="H209">
        <f>IF(ISBLANK(A209), "", B209 - E209 - F209 - G209)</f>
        <v/>
      </c>
      <c r="I209">
        <f>IF(ISBLANK(A209), "", D209 - XLOOKUP(A209, Inventory!A:A, Inventory!H:H, TODAY()))</f>
        <v/>
      </c>
    </row>
    <row r="210">
      <c r="E210">
        <f>IF(ISBLANK(A210), "", XLOOKUP(A210, Inventory!A:A, Inventory!E:E, 0))</f>
        <v/>
      </c>
      <c r="F210">
        <f>IF(ISBLANK(A210), "", (B210 * XLOOKUP(C210, 'Fees &amp; Postage Table'!A:A, 'Fees &amp; Postage Table'!C:C, 0)) + XLOOKUP(C210, 'Fees &amp; Postage Table'!A:A, 'Fees &amp; Postage Table'!B:B, 0))</f>
        <v/>
      </c>
      <c r="G210">
        <f>IF(ISBLANK(A210), "", XLOOKUP(C210, 'Fees &amp; Postage Table'!A:A, 'Fees &amp; Postage Table'!D:D, 0))</f>
        <v/>
      </c>
      <c r="H210">
        <f>IF(ISBLANK(A210), "", B210 - E210 - F210 - G210)</f>
        <v/>
      </c>
      <c r="I210">
        <f>IF(ISBLANK(A210), "", D210 - XLOOKUP(A210, Inventory!A:A, Inventory!H:H, TODAY()))</f>
        <v/>
      </c>
    </row>
    <row r="211">
      <c r="E211">
        <f>IF(ISBLANK(A211), "", XLOOKUP(A211, Inventory!A:A, Inventory!E:E, 0))</f>
        <v/>
      </c>
      <c r="F211">
        <f>IF(ISBLANK(A211), "", (B211 * XLOOKUP(C211, 'Fees &amp; Postage Table'!A:A, 'Fees &amp; Postage Table'!C:C, 0)) + XLOOKUP(C211, 'Fees &amp; Postage Table'!A:A, 'Fees &amp; Postage Table'!B:B, 0))</f>
        <v/>
      </c>
      <c r="G211">
        <f>IF(ISBLANK(A211), "", XLOOKUP(C211, 'Fees &amp; Postage Table'!A:A, 'Fees &amp; Postage Table'!D:D, 0))</f>
        <v/>
      </c>
      <c r="H211">
        <f>IF(ISBLANK(A211), "", B211 - E211 - F211 - G211)</f>
        <v/>
      </c>
      <c r="I211">
        <f>IF(ISBLANK(A211), "", D211 - XLOOKUP(A211, Inventory!A:A, Inventory!H:H, TODAY()))</f>
        <v/>
      </c>
    </row>
    <row r="212">
      <c r="E212">
        <f>IF(ISBLANK(A212), "", XLOOKUP(A212, Inventory!A:A, Inventory!E:E, 0))</f>
        <v/>
      </c>
      <c r="F212">
        <f>IF(ISBLANK(A212), "", (B212 * XLOOKUP(C212, 'Fees &amp; Postage Table'!A:A, 'Fees &amp; Postage Table'!C:C, 0)) + XLOOKUP(C212, 'Fees &amp; Postage Table'!A:A, 'Fees &amp; Postage Table'!B:B, 0))</f>
        <v/>
      </c>
      <c r="G212">
        <f>IF(ISBLANK(A212), "", XLOOKUP(C212, 'Fees &amp; Postage Table'!A:A, 'Fees &amp; Postage Table'!D:D, 0))</f>
        <v/>
      </c>
      <c r="H212">
        <f>IF(ISBLANK(A212), "", B212 - E212 - F212 - G212)</f>
        <v/>
      </c>
      <c r="I212">
        <f>IF(ISBLANK(A212), "", D212 - XLOOKUP(A212, Inventory!A:A, Inventory!H:H, TODAY()))</f>
        <v/>
      </c>
    </row>
    <row r="213">
      <c r="E213">
        <f>IF(ISBLANK(A213), "", XLOOKUP(A213, Inventory!A:A, Inventory!E:E, 0))</f>
        <v/>
      </c>
      <c r="F213">
        <f>IF(ISBLANK(A213), "", (B213 * XLOOKUP(C213, 'Fees &amp; Postage Table'!A:A, 'Fees &amp; Postage Table'!C:C, 0)) + XLOOKUP(C213, 'Fees &amp; Postage Table'!A:A, 'Fees &amp; Postage Table'!B:B, 0))</f>
        <v/>
      </c>
      <c r="G213">
        <f>IF(ISBLANK(A213), "", XLOOKUP(C213, 'Fees &amp; Postage Table'!A:A, 'Fees &amp; Postage Table'!D:D, 0))</f>
        <v/>
      </c>
      <c r="H213">
        <f>IF(ISBLANK(A213), "", B213 - E213 - F213 - G213)</f>
        <v/>
      </c>
      <c r="I213">
        <f>IF(ISBLANK(A213), "", D213 - XLOOKUP(A213, Inventory!A:A, Inventory!H:H, TODAY()))</f>
        <v/>
      </c>
    </row>
    <row r="214">
      <c r="E214">
        <f>IF(ISBLANK(A214), "", XLOOKUP(A214, Inventory!A:A, Inventory!E:E, 0))</f>
        <v/>
      </c>
      <c r="F214">
        <f>IF(ISBLANK(A214), "", (B214 * XLOOKUP(C214, 'Fees &amp; Postage Table'!A:A, 'Fees &amp; Postage Table'!C:C, 0)) + XLOOKUP(C214, 'Fees &amp; Postage Table'!A:A, 'Fees &amp; Postage Table'!B:B, 0))</f>
        <v/>
      </c>
      <c r="G214">
        <f>IF(ISBLANK(A214), "", XLOOKUP(C214, 'Fees &amp; Postage Table'!A:A, 'Fees &amp; Postage Table'!D:D, 0))</f>
        <v/>
      </c>
      <c r="H214">
        <f>IF(ISBLANK(A214), "", B214 - E214 - F214 - G214)</f>
        <v/>
      </c>
      <c r="I214">
        <f>IF(ISBLANK(A214), "", D214 - XLOOKUP(A214, Inventory!A:A, Inventory!H:H, TODAY()))</f>
        <v/>
      </c>
    </row>
    <row r="215">
      <c r="E215">
        <f>IF(ISBLANK(A215), "", XLOOKUP(A215, Inventory!A:A, Inventory!E:E, 0))</f>
        <v/>
      </c>
      <c r="F215">
        <f>IF(ISBLANK(A215), "", (B215 * XLOOKUP(C215, 'Fees &amp; Postage Table'!A:A, 'Fees &amp; Postage Table'!C:C, 0)) + XLOOKUP(C215, 'Fees &amp; Postage Table'!A:A, 'Fees &amp; Postage Table'!B:B, 0))</f>
        <v/>
      </c>
      <c r="G215">
        <f>IF(ISBLANK(A215), "", XLOOKUP(C215, 'Fees &amp; Postage Table'!A:A, 'Fees &amp; Postage Table'!D:D, 0))</f>
        <v/>
      </c>
      <c r="H215">
        <f>IF(ISBLANK(A215), "", B215 - E215 - F215 - G215)</f>
        <v/>
      </c>
      <c r="I215">
        <f>IF(ISBLANK(A215), "", D215 - XLOOKUP(A215, Inventory!A:A, Inventory!H:H, TODAY()))</f>
        <v/>
      </c>
    </row>
    <row r="216">
      <c r="E216">
        <f>IF(ISBLANK(A216), "", XLOOKUP(A216, Inventory!A:A, Inventory!E:E, 0))</f>
        <v/>
      </c>
      <c r="F216">
        <f>IF(ISBLANK(A216), "", (B216 * XLOOKUP(C216, 'Fees &amp; Postage Table'!A:A, 'Fees &amp; Postage Table'!C:C, 0)) + XLOOKUP(C216, 'Fees &amp; Postage Table'!A:A, 'Fees &amp; Postage Table'!B:B, 0))</f>
        <v/>
      </c>
      <c r="G216">
        <f>IF(ISBLANK(A216), "", XLOOKUP(C216, 'Fees &amp; Postage Table'!A:A, 'Fees &amp; Postage Table'!D:D, 0))</f>
        <v/>
      </c>
      <c r="H216">
        <f>IF(ISBLANK(A216), "", B216 - E216 - F216 - G216)</f>
        <v/>
      </c>
      <c r="I216">
        <f>IF(ISBLANK(A216), "", D216 - XLOOKUP(A216, Inventory!A:A, Inventory!H:H, TODAY()))</f>
        <v/>
      </c>
    </row>
    <row r="217">
      <c r="E217">
        <f>IF(ISBLANK(A217), "", XLOOKUP(A217, Inventory!A:A, Inventory!E:E, 0))</f>
        <v/>
      </c>
      <c r="F217">
        <f>IF(ISBLANK(A217), "", (B217 * XLOOKUP(C217, 'Fees &amp; Postage Table'!A:A, 'Fees &amp; Postage Table'!C:C, 0)) + XLOOKUP(C217, 'Fees &amp; Postage Table'!A:A, 'Fees &amp; Postage Table'!B:B, 0))</f>
        <v/>
      </c>
      <c r="G217">
        <f>IF(ISBLANK(A217), "", XLOOKUP(C217, 'Fees &amp; Postage Table'!A:A, 'Fees &amp; Postage Table'!D:D, 0))</f>
        <v/>
      </c>
      <c r="H217">
        <f>IF(ISBLANK(A217), "", B217 - E217 - F217 - G217)</f>
        <v/>
      </c>
      <c r="I217">
        <f>IF(ISBLANK(A217), "", D217 - XLOOKUP(A217, Inventory!A:A, Inventory!H:H, TODAY()))</f>
        <v/>
      </c>
    </row>
    <row r="218">
      <c r="E218">
        <f>IF(ISBLANK(A218), "", XLOOKUP(A218, Inventory!A:A, Inventory!E:E, 0))</f>
        <v/>
      </c>
      <c r="F218">
        <f>IF(ISBLANK(A218), "", (B218 * XLOOKUP(C218, 'Fees &amp; Postage Table'!A:A, 'Fees &amp; Postage Table'!C:C, 0)) + XLOOKUP(C218, 'Fees &amp; Postage Table'!A:A, 'Fees &amp; Postage Table'!B:B, 0))</f>
        <v/>
      </c>
      <c r="G218">
        <f>IF(ISBLANK(A218), "", XLOOKUP(C218, 'Fees &amp; Postage Table'!A:A, 'Fees &amp; Postage Table'!D:D, 0))</f>
        <v/>
      </c>
      <c r="H218">
        <f>IF(ISBLANK(A218), "", B218 - E218 - F218 - G218)</f>
        <v/>
      </c>
      <c r="I218">
        <f>IF(ISBLANK(A218), "", D218 - XLOOKUP(A218, Inventory!A:A, Inventory!H:H, TODAY()))</f>
        <v/>
      </c>
    </row>
    <row r="219">
      <c r="E219">
        <f>IF(ISBLANK(A219), "", XLOOKUP(A219, Inventory!A:A, Inventory!E:E, 0))</f>
        <v/>
      </c>
      <c r="F219">
        <f>IF(ISBLANK(A219), "", (B219 * XLOOKUP(C219, 'Fees &amp; Postage Table'!A:A, 'Fees &amp; Postage Table'!C:C, 0)) + XLOOKUP(C219, 'Fees &amp; Postage Table'!A:A, 'Fees &amp; Postage Table'!B:B, 0))</f>
        <v/>
      </c>
      <c r="G219">
        <f>IF(ISBLANK(A219), "", XLOOKUP(C219, 'Fees &amp; Postage Table'!A:A, 'Fees &amp; Postage Table'!D:D, 0))</f>
        <v/>
      </c>
      <c r="H219">
        <f>IF(ISBLANK(A219), "", B219 - E219 - F219 - G219)</f>
        <v/>
      </c>
      <c r="I219">
        <f>IF(ISBLANK(A219), "", D219 - XLOOKUP(A219, Inventory!A:A, Inventory!H:H, TODAY()))</f>
        <v/>
      </c>
    </row>
    <row r="220">
      <c r="E220">
        <f>IF(ISBLANK(A220), "", XLOOKUP(A220, Inventory!A:A, Inventory!E:E, 0))</f>
        <v/>
      </c>
      <c r="F220">
        <f>IF(ISBLANK(A220), "", (B220 * XLOOKUP(C220, 'Fees &amp; Postage Table'!A:A, 'Fees &amp; Postage Table'!C:C, 0)) + XLOOKUP(C220, 'Fees &amp; Postage Table'!A:A, 'Fees &amp; Postage Table'!B:B, 0))</f>
        <v/>
      </c>
      <c r="G220">
        <f>IF(ISBLANK(A220), "", XLOOKUP(C220, 'Fees &amp; Postage Table'!A:A, 'Fees &amp; Postage Table'!D:D, 0))</f>
        <v/>
      </c>
      <c r="H220">
        <f>IF(ISBLANK(A220), "", B220 - E220 - F220 - G220)</f>
        <v/>
      </c>
      <c r="I220">
        <f>IF(ISBLANK(A220), "", D220 - XLOOKUP(A220, Inventory!A:A, Inventory!H:H, TODAY()))</f>
        <v/>
      </c>
    </row>
    <row r="221">
      <c r="E221">
        <f>IF(ISBLANK(A221), "", XLOOKUP(A221, Inventory!A:A, Inventory!E:E, 0))</f>
        <v/>
      </c>
      <c r="F221">
        <f>IF(ISBLANK(A221), "", (B221 * XLOOKUP(C221, 'Fees &amp; Postage Table'!A:A, 'Fees &amp; Postage Table'!C:C, 0)) + XLOOKUP(C221, 'Fees &amp; Postage Table'!A:A, 'Fees &amp; Postage Table'!B:B, 0))</f>
        <v/>
      </c>
      <c r="G221">
        <f>IF(ISBLANK(A221), "", XLOOKUP(C221, 'Fees &amp; Postage Table'!A:A, 'Fees &amp; Postage Table'!D:D, 0))</f>
        <v/>
      </c>
      <c r="H221">
        <f>IF(ISBLANK(A221), "", B221 - E221 - F221 - G221)</f>
        <v/>
      </c>
      <c r="I221">
        <f>IF(ISBLANK(A221), "", D221 - XLOOKUP(A221, Inventory!A:A, Inventory!H:H, TODAY()))</f>
        <v/>
      </c>
    </row>
    <row r="222">
      <c r="E222">
        <f>IF(ISBLANK(A222), "", XLOOKUP(A222, Inventory!A:A, Inventory!E:E, 0))</f>
        <v/>
      </c>
      <c r="F222">
        <f>IF(ISBLANK(A222), "", (B222 * XLOOKUP(C222, 'Fees &amp; Postage Table'!A:A, 'Fees &amp; Postage Table'!C:C, 0)) + XLOOKUP(C222, 'Fees &amp; Postage Table'!A:A, 'Fees &amp; Postage Table'!B:B, 0))</f>
        <v/>
      </c>
      <c r="G222">
        <f>IF(ISBLANK(A222), "", XLOOKUP(C222, 'Fees &amp; Postage Table'!A:A, 'Fees &amp; Postage Table'!D:D, 0))</f>
        <v/>
      </c>
      <c r="H222">
        <f>IF(ISBLANK(A222), "", B222 - E222 - F222 - G222)</f>
        <v/>
      </c>
      <c r="I222">
        <f>IF(ISBLANK(A222), "", D222 - XLOOKUP(A222, Inventory!A:A, Inventory!H:H, TODAY()))</f>
        <v/>
      </c>
    </row>
    <row r="223">
      <c r="E223">
        <f>IF(ISBLANK(A223), "", XLOOKUP(A223, Inventory!A:A, Inventory!E:E, 0))</f>
        <v/>
      </c>
      <c r="F223">
        <f>IF(ISBLANK(A223), "", (B223 * XLOOKUP(C223, 'Fees &amp; Postage Table'!A:A, 'Fees &amp; Postage Table'!C:C, 0)) + XLOOKUP(C223, 'Fees &amp; Postage Table'!A:A, 'Fees &amp; Postage Table'!B:B, 0))</f>
        <v/>
      </c>
      <c r="G223">
        <f>IF(ISBLANK(A223), "", XLOOKUP(C223, 'Fees &amp; Postage Table'!A:A, 'Fees &amp; Postage Table'!D:D, 0))</f>
        <v/>
      </c>
      <c r="H223">
        <f>IF(ISBLANK(A223), "", B223 - E223 - F223 - G223)</f>
        <v/>
      </c>
      <c r="I223">
        <f>IF(ISBLANK(A223), "", D223 - XLOOKUP(A223, Inventory!A:A, Inventory!H:H, TODAY()))</f>
        <v/>
      </c>
    </row>
    <row r="224">
      <c r="E224">
        <f>IF(ISBLANK(A224), "", XLOOKUP(A224, Inventory!A:A, Inventory!E:E, 0))</f>
        <v/>
      </c>
      <c r="F224">
        <f>IF(ISBLANK(A224), "", (B224 * XLOOKUP(C224, 'Fees &amp; Postage Table'!A:A, 'Fees &amp; Postage Table'!C:C, 0)) + XLOOKUP(C224, 'Fees &amp; Postage Table'!A:A, 'Fees &amp; Postage Table'!B:B, 0))</f>
        <v/>
      </c>
      <c r="G224">
        <f>IF(ISBLANK(A224), "", XLOOKUP(C224, 'Fees &amp; Postage Table'!A:A, 'Fees &amp; Postage Table'!D:D, 0))</f>
        <v/>
      </c>
      <c r="H224">
        <f>IF(ISBLANK(A224), "", B224 - E224 - F224 - G224)</f>
        <v/>
      </c>
      <c r="I224">
        <f>IF(ISBLANK(A224), "", D224 - XLOOKUP(A224, Inventory!A:A, Inventory!H:H, TODAY()))</f>
        <v/>
      </c>
    </row>
    <row r="225">
      <c r="E225">
        <f>IF(ISBLANK(A225), "", XLOOKUP(A225, Inventory!A:A, Inventory!E:E, 0))</f>
        <v/>
      </c>
      <c r="F225">
        <f>IF(ISBLANK(A225), "", (B225 * XLOOKUP(C225, 'Fees &amp; Postage Table'!A:A, 'Fees &amp; Postage Table'!C:C, 0)) + XLOOKUP(C225, 'Fees &amp; Postage Table'!A:A, 'Fees &amp; Postage Table'!B:B, 0))</f>
        <v/>
      </c>
      <c r="G225">
        <f>IF(ISBLANK(A225), "", XLOOKUP(C225, 'Fees &amp; Postage Table'!A:A, 'Fees &amp; Postage Table'!D:D, 0))</f>
        <v/>
      </c>
      <c r="H225">
        <f>IF(ISBLANK(A225), "", B225 - E225 - F225 - G225)</f>
        <v/>
      </c>
      <c r="I225">
        <f>IF(ISBLANK(A225), "", D225 - XLOOKUP(A225, Inventory!A:A, Inventory!H:H, TODAY()))</f>
        <v/>
      </c>
    </row>
    <row r="226">
      <c r="E226">
        <f>IF(ISBLANK(A226), "", XLOOKUP(A226, Inventory!A:A, Inventory!E:E, 0))</f>
        <v/>
      </c>
      <c r="F226">
        <f>IF(ISBLANK(A226), "", (B226 * XLOOKUP(C226, 'Fees &amp; Postage Table'!A:A, 'Fees &amp; Postage Table'!C:C, 0)) + XLOOKUP(C226, 'Fees &amp; Postage Table'!A:A, 'Fees &amp; Postage Table'!B:B, 0))</f>
        <v/>
      </c>
      <c r="G226">
        <f>IF(ISBLANK(A226), "", XLOOKUP(C226, 'Fees &amp; Postage Table'!A:A, 'Fees &amp; Postage Table'!D:D, 0))</f>
        <v/>
      </c>
      <c r="H226">
        <f>IF(ISBLANK(A226), "", B226 - E226 - F226 - G226)</f>
        <v/>
      </c>
      <c r="I226">
        <f>IF(ISBLANK(A226), "", D226 - XLOOKUP(A226, Inventory!A:A, Inventory!H:H, TODAY()))</f>
        <v/>
      </c>
    </row>
    <row r="227">
      <c r="E227">
        <f>IF(ISBLANK(A227), "", XLOOKUP(A227, Inventory!A:A, Inventory!E:E, 0))</f>
        <v/>
      </c>
      <c r="F227">
        <f>IF(ISBLANK(A227), "", (B227 * XLOOKUP(C227, 'Fees &amp; Postage Table'!A:A, 'Fees &amp; Postage Table'!C:C, 0)) + XLOOKUP(C227, 'Fees &amp; Postage Table'!A:A, 'Fees &amp; Postage Table'!B:B, 0))</f>
        <v/>
      </c>
      <c r="G227">
        <f>IF(ISBLANK(A227), "", XLOOKUP(C227, 'Fees &amp; Postage Table'!A:A, 'Fees &amp; Postage Table'!D:D, 0))</f>
        <v/>
      </c>
      <c r="H227">
        <f>IF(ISBLANK(A227), "", B227 - E227 - F227 - G227)</f>
        <v/>
      </c>
      <c r="I227">
        <f>IF(ISBLANK(A227), "", D227 - XLOOKUP(A227, Inventory!A:A, Inventory!H:H, TODAY()))</f>
        <v/>
      </c>
    </row>
    <row r="228">
      <c r="E228">
        <f>IF(ISBLANK(A228), "", XLOOKUP(A228, Inventory!A:A, Inventory!E:E, 0))</f>
        <v/>
      </c>
      <c r="F228">
        <f>IF(ISBLANK(A228), "", (B228 * XLOOKUP(C228, 'Fees &amp; Postage Table'!A:A, 'Fees &amp; Postage Table'!C:C, 0)) + XLOOKUP(C228, 'Fees &amp; Postage Table'!A:A, 'Fees &amp; Postage Table'!B:B, 0))</f>
        <v/>
      </c>
      <c r="G228">
        <f>IF(ISBLANK(A228), "", XLOOKUP(C228, 'Fees &amp; Postage Table'!A:A, 'Fees &amp; Postage Table'!D:D, 0))</f>
        <v/>
      </c>
      <c r="H228">
        <f>IF(ISBLANK(A228), "", B228 - E228 - F228 - G228)</f>
        <v/>
      </c>
      <c r="I228">
        <f>IF(ISBLANK(A228), "", D228 - XLOOKUP(A228, Inventory!A:A, Inventory!H:H, TODAY()))</f>
        <v/>
      </c>
    </row>
    <row r="229">
      <c r="E229">
        <f>IF(ISBLANK(A229), "", XLOOKUP(A229, Inventory!A:A, Inventory!E:E, 0))</f>
        <v/>
      </c>
      <c r="F229">
        <f>IF(ISBLANK(A229), "", (B229 * XLOOKUP(C229, 'Fees &amp; Postage Table'!A:A, 'Fees &amp; Postage Table'!C:C, 0)) + XLOOKUP(C229, 'Fees &amp; Postage Table'!A:A, 'Fees &amp; Postage Table'!B:B, 0))</f>
        <v/>
      </c>
      <c r="G229">
        <f>IF(ISBLANK(A229), "", XLOOKUP(C229, 'Fees &amp; Postage Table'!A:A, 'Fees &amp; Postage Table'!D:D, 0))</f>
        <v/>
      </c>
      <c r="H229">
        <f>IF(ISBLANK(A229), "", B229 - E229 - F229 - G229)</f>
        <v/>
      </c>
      <c r="I229">
        <f>IF(ISBLANK(A229), "", D229 - XLOOKUP(A229, Inventory!A:A, Inventory!H:H, TODAY()))</f>
        <v/>
      </c>
    </row>
    <row r="230">
      <c r="E230">
        <f>IF(ISBLANK(A230), "", XLOOKUP(A230, Inventory!A:A, Inventory!E:E, 0))</f>
        <v/>
      </c>
      <c r="F230">
        <f>IF(ISBLANK(A230), "", (B230 * XLOOKUP(C230, 'Fees &amp; Postage Table'!A:A, 'Fees &amp; Postage Table'!C:C, 0)) + XLOOKUP(C230, 'Fees &amp; Postage Table'!A:A, 'Fees &amp; Postage Table'!B:B, 0))</f>
        <v/>
      </c>
      <c r="G230">
        <f>IF(ISBLANK(A230), "", XLOOKUP(C230, 'Fees &amp; Postage Table'!A:A, 'Fees &amp; Postage Table'!D:D, 0))</f>
        <v/>
      </c>
      <c r="H230">
        <f>IF(ISBLANK(A230), "", B230 - E230 - F230 - G230)</f>
        <v/>
      </c>
      <c r="I230">
        <f>IF(ISBLANK(A230), "", D230 - XLOOKUP(A230, Inventory!A:A, Inventory!H:H, TODAY()))</f>
        <v/>
      </c>
    </row>
    <row r="231">
      <c r="E231">
        <f>IF(ISBLANK(A231), "", XLOOKUP(A231, Inventory!A:A, Inventory!E:E, 0))</f>
        <v/>
      </c>
      <c r="F231">
        <f>IF(ISBLANK(A231), "", (B231 * XLOOKUP(C231, 'Fees &amp; Postage Table'!A:A, 'Fees &amp; Postage Table'!C:C, 0)) + XLOOKUP(C231, 'Fees &amp; Postage Table'!A:A, 'Fees &amp; Postage Table'!B:B, 0))</f>
        <v/>
      </c>
      <c r="G231">
        <f>IF(ISBLANK(A231), "", XLOOKUP(C231, 'Fees &amp; Postage Table'!A:A, 'Fees &amp; Postage Table'!D:D, 0))</f>
        <v/>
      </c>
      <c r="H231">
        <f>IF(ISBLANK(A231), "", B231 - E231 - F231 - G231)</f>
        <v/>
      </c>
      <c r="I231">
        <f>IF(ISBLANK(A231), "", D231 - XLOOKUP(A231, Inventory!A:A, Inventory!H:H, TODAY()))</f>
        <v/>
      </c>
    </row>
    <row r="232">
      <c r="E232">
        <f>IF(ISBLANK(A232), "", XLOOKUP(A232, Inventory!A:A, Inventory!E:E, 0))</f>
        <v/>
      </c>
      <c r="F232">
        <f>IF(ISBLANK(A232), "", (B232 * XLOOKUP(C232, 'Fees &amp; Postage Table'!A:A, 'Fees &amp; Postage Table'!C:C, 0)) + XLOOKUP(C232, 'Fees &amp; Postage Table'!A:A, 'Fees &amp; Postage Table'!B:B, 0))</f>
        <v/>
      </c>
      <c r="G232">
        <f>IF(ISBLANK(A232), "", XLOOKUP(C232, 'Fees &amp; Postage Table'!A:A, 'Fees &amp; Postage Table'!D:D, 0))</f>
        <v/>
      </c>
      <c r="H232">
        <f>IF(ISBLANK(A232), "", B232 - E232 - F232 - G232)</f>
        <v/>
      </c>
      <c r="I232">
        <f>IF(ISBLANK(A232), "", D232 - XLOOKUP(A232, Inventory!A:A, Inventory!H:H, TODAY()))</f>
        <v/>
      </c>
    </row>
    <row r="233">
      <c r="E233">
        <f>IF(ISBLANK(A233), "", XLOOKUP(A233, Inventory!A:A, Inventory!E:E, 0))</f>
        <v/>
      </c>
      <c r="F233">
        <f>IF(ISBLANK(A233), "", (B233 * XLOOKUP(C233, 'Fees &amp; Postage Table'!A:A, 'Fees &amp; Postage Table'!C:C, 0)) + XLOOKUP(C233, 'Fees &amp; Postage Table'!A:A, 'Fees &amp; Postage Table'!B:B, 0))</f>
        <v/>
      </c>
      <c r="G233">
        <f>IF(ISBLANK(A233), "", XLOOKUP(C233, 'Fees &amp; Postage Table'!A:A, 'Fees &amp; Postage Table'!D:D, 0))</f>
        <v/>
      </c>
      <c r="H233">
        <f>IF(ISBLANK(A233), "", B233 - E233 - F233 - G233)</f>
        <v/>
      </c>
      <c r="I233">
        <f>IF(ISBLANK(A233), "", D233 - XLOOKUP(A233, Inventory!A:A, Inventory!H:H, TODAY()))</f>
        <v/>
      </c>
    </row>
    <row r="234">
      <c r="E234">
        <f>IF(ISBLANK(A234), "", XLOOKUP(A234, Inventory!A:A, Inventory!E:E, 0))</f>
        <v/>
      </c>
      <c r="F234">
        <f>IF(ISBLANK(A234), "", (B234 * XLOOKUP(C234, 'Fees &amp; Postage Table'!A:A, 'Fees &amp; Postage Table'!C:C, 0)) + XLOOKUP(C234, 'Fees &amp; Postage Table'!A:A, 'Fees &amp; Postage Table'!B:B, 0))</f>
        <v/>
      </c>
      <c r="G234">
        <f>IF(ISBLANK(A234), "", XLOOKUP(C234, 'Fees &amp; Postage Table'!A:A, 'Fees &amp; Postage Table'!D:D, 0))</f>
        <v/>
      </c>
      <c r="H234">
        <f>IF(ISBLANK(A234), "", B234 - E234 - F234 - G234)</f>
        <v/>
      </c>
      <c r="I234">
        <f>IF(ISBLANK(A234), "", D234 - XLOOKUP(A234, Inventory!A:A, Inventory!H:H, TODAY()))</f>
        <v/>
      </c>
    </row>
    <row r="235">
      <c r="E235">
        <f>IF(ISBLANK(A235), "", XLOOKUP(A235, Inventory!A:A, Inventory!E:E, 0))</f>
        <v/>
      </c>
      <c r="F235">
        <f>IF(ISBLANK(A235), "", (B235 * XLOOKUP(C235, 'Fees &amp; Postage Table'!A:A, 'Fees &amp; Postage Table'!C:C, 0)) + XLOOKUP(C235, 'Fees &amp; Postage Table'!A:A, 'Fees &amp; Postage Table'!B:B, 0))</f>
        <v/>
      </c>
      <c r="G235">
        <f>IF(ISBLANK(A235), "", XLOOKUP(C235, 'Fees &amp; Postage Table'!A:A, 'Fees &amp; Postage Table'!D:D, 0))</f>
        <v/>
      </c>
      <c r="H235">
        <f>IF(ISBLANK(A235), "", B235 - E235 - F235 - G235)</f>
        <v/>
      </c>
      <c r="I235">
        <f>IF(ISBLANK(A235), "", D235 - XLOOKUP(A235, Inventory!A:A, Inventory!H:H, TODAY()))</f>
        <v/>
      </c>
    </row>
    <row r="236">
      <c r="E236">
        <f>IF(ISBLANK(A236), "", XLOOKUP(A236, Inventory!A:A, Inventory!E:E, 0))</f>
        <v/>
      </c>
      <c r="F236">
        <f>IF(ISBLANK(A236), "", (B236 * XLOOKUP(C236, 'Fees &amp; Postage Table'!A:A, 'Fees &amp; Postage Table'!C:C, 0)) + XLOOKUP(C236, 'Fees &amp; Postage Table'!A:A, 'Fees &amp; Postage Table'!B:B, 0))</f>
        <v/>
      </c>
      <c r="G236">
        <f>IF(ISBLANK(A236), "", XLOOKUP(C236, 'Fees &amp; Postage Table'!A:A, 'Fees &amp; Postage Table'!D:D, 0))</f>
        <v/>
      </c>
      <c r="H236">
        <f>IF(ISBLANK(A236), "", B236 - E236 - F236 - G236)</f>
        <v/>
      </c>
      <c r="I236">
        <f>IF(ISBLANK(A236), "", D236 - XLOOKUP(A236, Inventory!A:A, Inventory!H:H, TODAY()))</f>
        <v/>
      </c>
    </row>
    <row r="237">
      <c r="E237">
        <f>IF(ISBLANK(A237), "", XLOOKUP(A237, Inventory!A:A, Inventory!E:E, 0))</f>
        <v/>
      </c>
      <c r="F237">
        <f>IF(ISBLANK(A237), "", (B237 * XLOOKUP(C237, 'Fees &amp; Postage Table'!A:A, 'Fees &amp; Postage Table'!C:C, 0)) + XLOOKUP(C237, 'Fees &amp; Postage Table'!A:A, 'Fees &amp; Postage Table'!B:B, 0))</f>
        <v/>
      </c>
      <c r="G237">
        <f>IF(ISBLANK(A237), "", XLOOKUP(C237, 'Fees &amp; Postage Table'!A:A, 'Fees &amp; Postage Table'!D:D, 0))</f>
        <v/>
      </c>
      <c r="H237">
        <f>IF(ISBLANK(A237), "", B237 - E237 - F237 - G237)</f>
        <v/>
      </c>
      <c r="I237">
        <f>IF(ISBLANK(A237), "", D237 - XLOOKUP(A237, Inventory!A:A, Inventory!H:H, TODAY()))</f>
        <v/>
      </c>
    </row>
    <row r="238">
      <c r="E238">
        <f>IF(ISBLANK(A238), "", XLOOKUP(A238, Inventory!A:A, Inventory!E:E, 0))</f>
        <v/>
      </c>
      <c r="F238">
        <f>IF(ISBLANK(A238), "", (B238 * XLOOKUP(C238, 'Fees &amp; Postage Table'!A:A, 'Fees &amp; Postage Table'!C:C, 0)) + XLOOKUP(C238, 'Fees &amp; Postage Table'!A:A, 'Fees &amp; Postage Table'!B:B, 0))</f>
        <v/>
      </c>
      <c r="G238">
        <f>IF(ISBLANK(A238), "", XLOOKUP(C238, 'Fees &amp; Postage Table'!A:A, 'Fees &amp; Postage Table'!D:D, 0))</f>
        <v/>
      </c>
      <c r="H238">
        <f>IF(ISBLANK(A238), "", B238 - E238 - F238 - G238)</f>
        <v/>
      </c>
      <c r="I238">
        <f>IF(ISBLANK(A238), "", D238 - XLOOKUP(A238, Inventory!A:A, Inventory!H:H, TODAY()))</f>
        <v/>
      </c>
    </row>
    <row r="239">
      <c r="E239">
        <f>IF(ISBLANK(A239), "", XLOOKUP(A239, Inventory!A:A, Inventory!E:E, 0))</f>
        <v/>
      </c>
      <c r="F239">
        <f>IF(ISBLANK(A239), "", (B239 * XLOOKUP(C239, 'Fees &amp; Postage Table'!A:A, 'Fees &amp; Postage Table'!C:C, 0)) + XLOOKUP(C239, 'Fees &amp; Postage Table'!A:A, 'Fees &amp; Postage Table'!B:B, 0))</f>
        <v/>
      </c>
      <c r="G239">
        <f>IF(ISBLANK(A239), "", XLOOKUP(C239, 'Fees &amp; Postage Table'!A:A, 'Fees &amp; Postage Table'!D:D, 0))</f>
        <v/>
      </c>
      <c r="H239">
        <f>IF(ISBLANK(A239), "", B239 - E239 - F239 - G239)</f>
        <v/>
      </c>
      <c r="I239">
        <f>IF(ISBLANK(A239), "", D239 - XLOOKUP(A239, Inventory!A:A, Inventory!H:H, TODAY()))</f>
        <v/>
      </c>
    </row>
    <row r="240">
      <c r="E240">
        <f>IF(ISBLANK(A240), "", XLOOKUP(A240, Inventory!A:A, Inventory!E:E, 0))</f>
        <v/>
      </c>
      <c r="F240">
        <f>IF(ISBLANK(A240), "", (B240 * XLOOKUP(C240, 'Fees &amp; Postage Table'!A:A, 'Fees &amp; Postage Table'!C:C, 0)) + XLOOKUP(C240, 'Fees &amp; Postage Table'!A:A, 'Fees &amp; Postage Table'!B:B, 0))</f>
        <v/>
      </c>
      <c r="G240">
        <f>IF(ISBLANK(A240), "", XLOOKUP(C240, 'Fees &amp; Postage Table'!A:A, 'Fees &amp; Postage Table'!D:D, 0))</f>
        <v/>
      </c>
      <c r="H240">
        <f>IF(ISBLANK(A240), "", B240 - E240 - F240 - G240)</f>
        <v/>
      </c>
      <c r="I240">
        <f>IF(ISBLANK(A240), "", D240 - XLOOKUP(A240, Inventory!A:A, Inventory!H:H, TODAY()))</f>
        <v/>
      </c>
    </row>
    <row r="241">
      <c r="E241">
        <f>IF(ISBLANK(A241), "", XLOOKUP(A241, Inventory!A:A, Inventory!E:E, 0))</f>
        <v/>
      </c>
      <c r="F241">
        <f>IF(ISBLANK(A241), "", (B241 * XLOOKUP(C241, 'Fees &amp; Postage Table'!A:A, 'Fees &amp; Postage Table'!C:C, 0)) + XLOOKUP(C241, 'Fees &amp; Postage Table'!A:A, 'Fees &amp; Postage Table'!B:B, 0))</f>
        <v/>
      </c>
      <c r="G241">
        <f>IF(ISBLANK(A241), "", XLOOKUP(C241, 'Fees &amp; Postage Table'!A:A, 'Fees &amp; Postage Table'!D:D, 0))</f>
        <v/>
      </c>
      <c r="H241">
        <f>IF(ISBLANK(A241), "", B241 - E241 - F241 - G241)</f>
        <v/>
      </c>
      <c r="I241">
        <f>IF(ISBLANK(A241), "", D241 - XLOOKUP(A241, Inventory!A:A, Inventory!H:H, TODAY()))</f>
        <v/>
      </c>
    </row>
    <row r="242">
      <c r="E242">
        <f>IF(ISBLANK(A242), "", XLOOKUP(A242, Inventory!A:A, Inventory!E:E, 0))</f>
        <v/>
      </c>
      <c r="F242">
        <f>IF(ISBLANK(A242), "", (B242 * XLOOKUP(C242, 'Fees &amp; Postage Table'!A:A, 'Fees &amp; Postage Table'!C:C, 0)) + XLOOKUP(C242, 'Fees &amp; Postage Table'!A:A, 'Fees &amp; Postage Table'!B:B, 0))</f>
        <v/>
      </c>
      <c r="G242">
        <f>IF(ISBLANK(A242), "", XLOOKUP(C242, 'Fees &amp; Postage Table'!A:A, 'Fees &amp; Postage Table'!D:D, 0))</f>
        <v/>
      </c>
      <c r="H242">
        <f>IF(ISBLANK(A242), "", B242 - E242 - F242 - G242)</f>
        <v/>
      </c>
      <c r="I242">
        <f>IF(ISBLANK(A242), "", D242 - XLOOKUP(A242, Inventory!A:A, Inventory!H:H, TODAY()))</f>
        <v/>
      </c>
    </row>
    <row r="243">
      <c r="E243">
        <f>IF(ISBLANK(A243), "", XLOOKUP(A243, Inventory!A:A, Inventory!E:E, 0))</f>
        <v/>
      </c>
      <c r="F243">
        <f>IF(ISBLANK(A243), "", (B243 * XLOOKUP(C243, 'Fees &amp; Postage Table'!A:A, 'Fees &amp; Postage Table'!C:C, 0)) + XLOOKUP(C243, 'Fees &amp; Postage Table'!A:A, 'Fees &amp; Postage Table'!B:B, 0))</f>
        <v/>
      </c>
      <c r="G243">
        <f>IF(ISBLANK(A243), "", XLOOKUP(C243, 'Fees &amp; Postage Table'!A:A, 'Fees &amp; Postage Table'!D:D, 0))</f>
        <v/>
      </c>
      <c r="H243">
        <f>IF(ISBLANK(A243), "", B243 - E243 - F243 - G243)</f>
        <v/>
      </c>
      <c r="I243">
        <f>IF(ISBLANK(A243), "", D243 - XLOOKUP(A243, Inventory!A:A, Inventory!H:H, TODAY()))</f>
        <v/>
      </c>
    </row>
    <row r="244">
      <c r="E244">
        <f>IF(ISBLANK(A244), "", XLOOKUP(A244, Inventory!A:A, Inventory!E:E, 0))</f>
        <v/>
      </c>
      <c r="F244">
        <f>IF(ISBLANK(A244), "", (B244 * XLOOKUP(C244, 'Fees &amp; Postage Table'!A:A, 'Fees &amp; Postage Table'!C:C, 0)) + XLOOKUP(C244, 'Fees &amp; Postage Table'!A:A, 'Fees &amp; Postage Table'!B:B, 0))</f>
        <v/>
      </c>
      <c r="G244">
        <f>IF(ISBLANK(A244), "", XLOOKUP(C244, 'Fees &amp; Postage Table'!A:A, 'Fees &amp; Postage Table'!D:D, 0))</f>
        <v/>
      </c>
      <c r="H244">
        <f>IF(ISBLANK(A244), "", B244 - E244 - F244 - G244)</f>
        <v/>
      </c>
      <c r="I244">
        <f>IF(ISBLANK(A244), "", D244 - XLOOKUP(A244, Inventory!A:A, Inventory!H:H, TODAY()))</f>
        <v/>
      </c>
    </row>
    <row r="245">
      <c r="E245">
        <f>IF(ISBLANK(A245), "", XLOOKUP(A245, Inventory!A:A, Inventory!E:E, 0))</f>
        <v/>
      </c>
      <c r="F245">
        <f>IF(ISBLANK(A245), "", (B245 * XLOOKUP(C245, 'Fees &amp; Postage Table'!A:A, 'Fees &amp; Postage Table'!C:C, 0)) + XLOOKUP(C245, 'Fees &amp; Postage Table'!A:A, 'Fees &amp; Postage Table'!B:B, 0))</f>
        <v/>
      </c>
      <c r="G245">
        <f>IF(ISBLANK(A245), "", XLOOKUP(C245, 'Fees &amp; Postage Table'!A:A, 'Fees &amp; Postage Table'!D:D, 0))</f>
        <v/>
      </c>
      <c r="H245">
        <f>IF(ISBLANK(A245), "", B245 - E245 - F245 - G245)</f>
        <v/>
      </c>
      <c r="I245">
        <f>IF(ISBLANK(A245), "", D245 - XLOOKUP(A245, Inventory!A:A, Inventory!H:H, TODAY()))</f>
        <v/>
      </c>
    </row>
    <row r="246">
      <c r="E246">
        <f>IF(ISBLANK(A246), "", XLOOKUP(A246, Inventory!A:A, Inventory!E:E, 0))</f>
        <v/>
      </c>
      <c r="F246">
        <f>IF(ISBLANK(A246), "", (B246 * XLOOKUP(C246, 'Fees &amp; Postage Table'!A:A, 'Fees &amp; Postage Table'!C:C, 0)) + XLOOKUP(C246, 'Fees &amp; Postage Table'!A:A, 'Fees &amp; Postage Table'!B:B, 0))</f>
        <v/>
      </c>
      <c r="G246">
        <f>IF(ISBLANK(A246), "", XLOOKUP(C246, 'Fees &amp; Postage Table'!A:A, 'Fees &amp; Postage Table'!D:D, 0))</f>
        <v/>
      </c>
      <c r="H246">
        <f>IF(ISBLANK(A246), "", B246 - E246 - F246 - G246)</f>
        <v/>
      </c>
      <c r="I246">
        <f>IF(ISBLANK(A246), "", D246 - XLOOKUP(A246, Inventory!A:A, Inventory!H:H, TODAY()))</f>
        <v/>
      </c>
    </row>
    <row r="247">
      <c r="E247">
        <f>IF(ISBLANK(A247), "", XLOOKUP(A247, Inventory!A:A, Inventory!E:E, 0))</f>
        <v/>
      </c>
      <c r="F247">
        <f>IF(ISBLANK(A247), "", (B247 * XLOOKUP(C247, 'Fees &amp; Postage Table'!A:A, 'Fees &amp; Postage Table'!C:C, 0)) + XLOOKUP(C247, 'Fees &amp; Postage Table'!A:A, 'Fees &amp; Postage Table'!B:B, 0))</f>
        <v/>
      </c>
      <c r="G247">
        <f>IF(ISBLANK(A247), "", XLOOKUP(C247, 'Fees &amp; Postage Table'!A:A, 'Fees &amp; Postage Table'!D:D, 0))</f>
        <v/>
      </c>
      <c r="H247">
        <f>IF(ISBLANK(A247), "", B247 - E247 - F247 - G247)</f>
        <v/>
      </c>
      <c r="I247">
        <f>IF(ISBLANK(A247), "", D247 - XLOOKUP(A247, Inventory!A:A, Inventory!H:H, TODAY()))</f>
        <v/>
      </c>
    </row>
    <row r="248">
      <c r="E248">
        <f>IF(ISBLANK(A248), "", XLOOKUP(A248, Inventory!A:A, Inventory!E:E, 0))</f>
        <v/>
      </c>
      <c r="F248">
        <f>IF(ISBLANK(A248), "", (B248 * XLOOKUP(C248, 'Fees &amp; Postage Table'!A:A, 'Fees &amp; Postage Table'!C:C, 0)) + XLOOKUP(C248, 'Fees &amp; Postage Table'!A:A, 'Fees &amp; Postage Table'!B:B, 0))</f>
        <v/>
      </c>
      <c r="G248">
        <f>IF(ISBLANK(A248), "", XLOOKUP(C248, 'Fees &amp; Postage Table'!A:A, 'Fees &amp; Postage Table'!D:D, 0))</f>
        <v/>
      </c>
      <c r="H248">
        <f>IF(ISBLANK(A248), "", B248 - E248 - F248 - G248)</f>
        <v/>
      </c>
      <c r="I248">
        <f>IF(ISBLANK(A248), "", D248 - XLOOKUP(A248, Inventory!A:A, Inventory!H:H, TODAY()))</f>
        <v/>
      </c>
    </row>
    <row r="249">
      <c r="E249">
        <f>IF(ISBLANK(A249), "", XLOOKUP(A249, Inventory!A:A, Inventory!E:E, 0))</f>
        <v/>
      </c>
      <c r="F249">
        <f>IF(ISBLANK(A249), "", (B249 * XLOOKUP(C249, 'Fees &amp; Postage Table'!A:A, 'Fees &amp; Postage Table'!C:C, 0)) + XLOOKUP(C249, 'Fees &amp; Postage Table'!A:A, 'Fees &amp; Postage Table'!B:B, 0))</f>
        <v/>
      </c>
      <c r="G249">
        <f>IF(ISBLANK(A249), "", XLOOKUP(C249, 'Fees &amp; Postage Table'!A:A, 'Fees &amp; Postage Table'!D:D, 0))</f>
        <v/>
      </c>
      <c r="H249">
        <f>IF(ISBLANK(A249), "", B249 - E249 - F249 - G249)</f>
        <v/>
      </c>
      <c r="I249">
        <f>IF(ISBLANK(A249), "", D249 - XLOOKUP(A249, Inventory!A:A, Inventory!H:H, TODAY()))</f>
        <v/>
      </c>
    </row>
    <row r="250">
      <c r="E250">
        <f>IF(ISBLANK(A250), "", XLOOKUP(A250, Inventory!A:A, Inventory!E:E, 0))</f>
        <v/>
      </c>
      <c r="F250">
        <f>IF(ISBLANK(A250), "", (B250 * XLOOKUP(C250, 'Fees &amp; Postage Table'!A:A, 'Fees &amp; Postage Table'!C:C, 0)) + XLOOKUP(C250, 'Fees &amp; Postage Table'!A:A, 'Fees &amp; Postage Table'!B:B, 0))</f>
        <v/>
      </c>
      <c r="G250">
        <f>IF(ISBLANK(A250), "", XLOOKUP(C250, 'Fees &amp; Postage Table'!A:A, 'Fees &amp; Postage Table'!D:D, 0))</f>
        <v/>
      </c>
      <c r="H250">
        <f>IF(ISBLANK(A250), "", B250 - E250 - F250 - G250)</f>
        <v/>
      </c>
      <c r="I250">
        <f>IF(ISBLANK(A250), "", D250 - XLOOKUP(A250, Inventory!A:A, Inventory!H:H, TODAY()))</f>
        <v/>
      </c>
    </row>
    <row r="251">
      <c r="E251">
        <f>IF(ISBLANK(A251), "", XLOOKUP(A251, Inventory!A:A, Inventory!E:E, 0))</f>
        <v/>
      </c>
      <c r="F251">
        <f>IF(ISBLANK(A251), "", (B251 * XLOOKUP(C251, 'Fees &amp; Postage Table'!A:A, 'Fees &amp; Postage Table'!C:C, 0)) + XLOOKUP(C251, 'Fees &amp; Postage Table'!A:A, 'Fees &amp; Postage Table'!B:B, 0))</f>
        <v/>
      </c>
      <c r="G251">
        <f>IF(ISBLANK(A251), "", XLOOKUP(C251, 'Fees &amp; Postage Table'!A:A, 'Fees &amp; Postage Table'!D:D, 0))</f>
        <v/>
      </c>
      <c r="H251">
        <f>IF(ISBLANK(A251), "", B251 - E251 - F251 - G251)</f>
        <v/>
      </c>
      <c r="I251">
        <f>IF(ISBLANK(A251), "", D251 - XLOOKUP(A251, Inventory!A:A, Inventory!H:H, TODAY()))</f>
        <v/>
      </c>
    </row>
    <row r="252">
      <c r="E252">
        <f>IF(ISBLANK(A252), "", XLOOKUP(A252, Inventory!A:A, Inventory!E:E, 0))</f>
        <v/>
      </c>
      <c r="F252">
        <f>IF(ISBLANK(A252), "", (B252 * XLOOKUP(C252, 'Fees &amp; Postage Table'!A:A, 'Fees &amp; Postage Table'!C:C, 0)) + XLOOKUP(C252, 'Fees &amp; Postage Table'!A:A, 'Fees &amp; Postage Table'!B:B, 0))</f>
        <v/>
      </c>
      <c r="G252">
        <f>IF(ISBLANK(A252), "", XLOOKUP(C252, 'Fees &amp; Postage Table'!A:A, 'Fees &amp; Postage Table'!D:D, 0))</f>
        <v/>
      </c>
      <c r="H252">
        <f>IF(ISBLANK(A252), "", B252 - E252 - F252 - G252)</f>
        <v/>
      </c>
      <c r="I252">
        <f>IF(ISBLANK(A252), "", D252 - XLOOKUP(A252, Inventory!A:A, Inventory!H:H, TODAY()))</f>
        <v/>
      </c>
    </row>
    <row r="253">
      <c r="E253">
        <f>IF(ISBLANK(A253), "", XLOOKUP(A253, Inventory!A:A, Inventory!E:E, 0))</f>
        <v/>
      </c>
      <c r="F253">
        <f>IF(ISBLANK(A253), "", (B253 * XLOOKUP(C253, 'Fees &amp; Postage Table'!A:A, 'Fees &amp; Postage Table'!C:C, 0)) + XLOOKUP(C253, 'Fees &amp; Postage Table'!A:A, 'Fees &amp; Postage Table'!B:B, 0))</f>
        <v/>
      </c>
      <c r="G253">
        <f>IF(ISBLANK(A253), "", XLOOKUP(C253, 'Fees &amp; Postage Table'!A:A, 'Fees &amp; Postage Table'!D:D, 0))</f>
        <v/>
      </c>
      <c r="H253">
        <f>IF(ISBLANK(A253), "", B253 - E253 - F253 - G253)</f>
        <v/>
      </c>
      <c r="I253">
        <f>IF(ISBLANK(A253), "", D253 - XLOOKUP(A253, Inventory!A:A, Inventory!H:H, TODAY()))</f>
        <v/>
      </c>
    </row>
    <row r="254">
      <c r="E254">
        <f>IF(ISBLANK(A254), "", XLOOKUP(A254, Inventory!A:A, Inventory!E:E, 0))</f>
        <v/>
      </c>
      <c r="F254">
        <f>IF(ISBLANK(A254), "", (B254 * XLOOKUP(C254, 'Fees &amp; Postage Table'!A:A, 'Fees &amp; Postage Table'!C:C, 0)) + XLOOKUP(C254, 'Fees &amp; Postage Table'!A:A, 'Fees &amp; Postage Table'!B:B, 0))</f>
        <v/>
      </c>
      <c r="G254">
        <f>IF(ISBLANK(A254), "", XLOOKUP(C254, 'Fees &amp; Postage Table'!A:A, 'Fees &amp; Postage Table'!D:D, 0))</f>
        <v/>
      </c>
      <c r="H254">
        <f>IF(ISBLANK(A254), "", B254 - E254 - F254 - G254)</f>
        <v/>
      </c>
      <c r="I254">
        <f>IF(ISBLANK(A254), "", D254 - XLOOKUP(A254, Inventory!A:A, Inventory!H:H, TODAY()))</f>
        <v/>
      </c>
    </row>
    <row r="255">
      <c r="E255">
        <f>IF(ISBLANK(A255), "", XLOOKUP(A255, Inventory!A:A, Inventory!E:E, 0))</f>
        <v/>
      </c>
      <c r="F255">
        <f>IF(ISBLANK(A255), "", (B255 * XLOOKUP(C255, 'Fees &amp; Postage Table'!A:A, 'Fees &amp; Postage Table'!C:C, 0)) + XLOOKUP(C255, 'Fees &amp; Postage Table'!A:A, 'Fees &amp; Postage Table'!B:B, 0))</f>
        <v/>
      </c>
      <c r="G255">
        <f>IF(ISBLANK(A255), "", XLOOKUP(C255, 'Fees &amp; Postage Table'!A:A, 'Fees &amp; Postage Table'!D:D, 0))</f>
        <v/>
      </c>
      <c r="H255">
        <f>IF(ISBLANK(A255), "", B255 - E255 - F255 - G255)</f>
        <v/>
      </c>
      <c r="I255">
        <f>IF(ISBLANK(A255), "", D255 - XLOOKUP(A255, Inventory!A:A, Inventory!H:H, TODAY()))</f>
        <v/>
      </c>
    </row>
    <row r="256">
      <c r="E256">
        <f>IF(ISBLANK(A256), "", XLOOKUP(A256, Inventory!A:A, Inventory!E:E, 0))</f>
        <v/>
      </c>
      <c r="F256">
        <f>IF(ISBLANK(A256), "", (B256 * XLOOKUP(C256, 'Fees &amp; Postage Table'!A:A, 'Fees &amp; Postage Table'!C:C, 0)) + XLOOKUP(C256, 'Fees &amp; Postage Table'!A:A, 'Fees &amp; Postage Table'!B:B, 0))</f>
        <v/>
      </c>
      <c r="G256">
        <f>IF(ISBLANK(A256), "", XLOOKUP(C256, 'Fees &amp; Postage Table'!A:A, 'Fees &amp; Postage Table'!D:D, 0))</f>
        <v/>
      </c>
      <c r="H256">
        <f>IF(ISBLANK(A256), "", B256 - E256 - F256 - G256)</f>
        <v/>
      </c>
      <c r="I256">
        <f>IF(ISBLANK(A256), "", D256 - XLOOKUP(A256, Inventory!A:A, Inventory!H:H, TODAY()))</f>
        <v/>
      </c>
    </row>
    <row r="257">
      <c r="E257">
        <f>IF(ISBLANK(A257), "", XLOOKUP(A257, Inventory!A:A, Inventory!E:E, 0))</f>
        <v/>
      </c>
      <c r="F257">
        <f>IF(ISBLANK(A257), "", (B257 * XLOOKUP(C257, 'Fees &amp; Postage Table'!A:A, 'Fees &amp; Postage Table'!C:C, 0)) + XLOOKUP(C257, 'Fees &amp; Postage Table'!A:A, 'Fees &amp; Postage Table'!B:B, 0))</f>
        <v/>
      </c>
      <c r="G257">
        <f>IF(ISBLANK(A257), "", XLOOKUP(C257, 'Fees &amp; Postage Table'!A:A, 'Fees &amp; Postage Table'!D:D, 0))</f>
        <v/>
      </c>
      <c r="H257">
        <f>IF(ISBLANK(A257), "", B257 - E257 - F257 - G257)</f>
        <v/>
      </c>
      <c r="I257">
        <f>IF(ISBLANK(A257), "", D257 - XLOOKUP(A257, Inventory!A:A, Inventory!H:H, TODAY()))</f>
        <v/>
      </c>
    </row>
    <row r="258">
      <c r="E258">
        <f>IF(ISBLANK(A258), "", XLOOKUP(A258, Inventory!A:A, Inventory!E:E, 0))</f>
        <v/>
      </c>
      <c r="F258">
        <f>IF(ISBLANK(A258), "", (B258 * XLOOKUP(C258, 'Fees &amp; Postage Table'!A:A, 'Fees &amp; Postage Table'!C:C, 0)) + XLOOKUP(C258, 'Fees &amp; Postage Table'!A:A, 'Fees &amp; Postage Table'!B:B, 0))</f>
        <v/>
      </c>
      <c r="G258">
        <f>IF(ISBLANK(A258), "", XLOOKUP(C258, 'Fees &amp; Postage Table'!A:A, 'Fees &amp; Postage Table'!D:D, 0))</f>
        <v/>
      </c>
      <c r="H258">
        <f>IF(ISBLANK(A258), "", B258 - E258 - F258 - G258)</f>
        <v/>
      </c>
      <c r="I258">
        <f>IF(ISBLANK(A258), "", D258 - XLOOKUP(A258, Inventory!A:A, Inventory!H:H, TODAY()))</f>
        <v/>
      </c>
    </row>
    <row r="259">
      <c r="E259">
        <f>IF(ISBLANK(A259), "", XLOOKUP(A259, Inventory!A:A, Inventory!E:E, 0))</f>
        <v/>
      </c>
      <c r="F259">
        <f>IF(ISBLANK(A259), "", (B259 * XLOOKUP(C259, 'Fees &amp; Postage Table'!A:A, 'Fees &amp; Postage Table'!C:C, 0)) + XLOOKUP(C259, 'Fees &amp; Postage Table'!A:A, 'Fees &amp; Postage Table'!B:B, 0))</f>
        <v/>
      </c>
      <c r="G259">
        <f>IF(ISBLANK(A259), "", XLOOKUP(C259, 'Fees &amp; Postage Table'!A:A, 'Fees &amp; Postage Table'!D:D, 0))</f>
        <v/>
      </c>
      <c r="H259">
        <f>IF(ISBLANK(A259), "", B259 - E259 - F259 - G259)</f>
        <v/>
      </c>
      <c r="I259">
        <f>IF(ISBLANK(A259), "", D259 - XLOOKUP(A259, Inventory!A:A, Inventory!H:H, TODAY()))</f>
        <v/>
      </c>
    </row>
    <row r="260">
      <c r="E260">
        <f>IF(ISBLANK(A260), "", XLOOKUP(A260, Inventory!A:A, Inventory!E:E, 0))</f>
        <v/>
      </c>
      <c r="F260">
        <f>IF(ISBLANK(A260), "", (B260 * XLOOKUP(C260, 'Fees &amp; Postage Table'!A:A, 'Fees &amp; Postage Table'!C:C, 0)) + XLOOKUP(C260, 'Fees &amp; Postage Table'!A:A, 'Fees &amp; Postage Table'!B:B, 0))</f>
        <v/>
      </c>
      <c r="G260">
        <f>IF(ISBLANK(A260), "", XLOOKUP(C260, 'Fees &amp; Postage Table'!A:A, 'Fees &amp; Postage Table'!D:D, 0))</f>
        <v/>
      </c>
      <c r="H260">
        <f>IF(ISBLANK(A260), "", B260 - E260 - F260 - G260)</f>
        <v/>
      </c>
      <c r="I260">
        <f>IF(ISBLANK(A260), "", D260 - XLOOKUP(A260, Inventory!A:A, Inventory!H:H, TODAY()))</f>
        <v/>
      </c>
    </row>
    <row r="261">
      <c r="E261">
        <f>IF(ISBLANK(A261), "", XLOOKUP(A261, Inventory!A:A, Inventory!E:E, 0))</f>
        <v/>
      </c>
      <c r="F261">
        <f>IF(ISBLANK(A261), "", (B261 * XLOOKUP(C261, 'Fees &amp; Postage Table'!A:A, 'Fees &amp; Postage Table'!C:C, 0)) + XLOOKUP(C261, 'Fees &amp; Postage Table'!A:A, 'Fees &amp; Postage Table'!B:B, 0))</f>
        <v/>
      </c>
      <c r="G261">
        <f>IF(ISBLANK(A261), "", XLOOKUP(C261, 'Fees &amp; Postage Table'!A:A, 'Fees &amp; Postage Table'!D:D, 0))</f>
        <v/>
      </c>
      <c r="H261">
        <f>IF(ISBLANK(A261), "", B261 - E261 - F261 - G261)</f>
        <v/>
      </c>
      <c r="I261">
        <f>IF(ISBLANK(A261), "", D261 - XLOOKUP(A261, Inventory!A:A, Inventory!H:H, TODAY()))</f>
        <v/>
      </c>
    </row>
    <row r="262">
      <c r="E262">
        <f>IF(ISBLANK(A262), "", XLOOKUP(A262, Inventory!A:A, Inventory!E:E, 0))</f>
        <v/>
      </c>
      <c r="F262">
        <f>IF(ISBLANK(A262), "", (B262 * XLOOKUP(C262, 'Fees &amp; Postage Table'!A:A, 'Fees &amp; Postage Table'!C:C, 0)) + XLOOKUP(C262, 'Fees &amp; Postage Table'!A:A, 'Fees &amp; Postage Table'!B:B, 0))</f>
        <v/>
      </c>
      <c r="G262">
        <f>IF(ISBLANK(A262), "", XLOOKUP(C262, 'Fees &amp; Postage Table'!A:A, 'Fees &amp; Postage Table'!D:D, 0))</f>
        <v/>
      </c>
      <c r="H262">
        <f>IF(ISBLANK(A262), "", B262 - E262 - F262 - G262)</f>
        <v/>
      </c>
      <c r="I262">
        <f>IF(ISBLANK(A262), "", D262 - XLOOKUP(A262, Inventory!A:A, Inventory!H:H, TODAY()))</f>
        <v/>
      </c>
    </row>
    <row r="263">
      <c r="E263">
        <f>IF(ISBLANK(A263), "", XLOOKUP(A263, Inventory!A:A, Inventory!E:E, 0))</f>
        <v/>
      </c>
      <c r="F263">
        <f>IF(ISBLANK(A263), "", (B263 * XLOOKUP(C263, 'Fees &amp; Postage Table'!A:A, 'Fees &amp; Postage Table'!C:C, 0)) + XLOOKUP(C263, 'Fees &amp; Postage Table'!A:A, 'Fees &amp; Postage Table'!B:B, 0))</f>
        <v/>
      </c>
      <c r="G263">
        <f>IF(ISBLANK(A263), "", XLOOKUP(C263, 'Fees &amp; Postage Table'!A:A, 'Fees &amp; Postage Table'!D:D, 0))</f>
        <v/>
      </c>
      <c r="H263">
        <f>IF(ISBLANK(A263), "", B263 - E263 - F263 - G263)</f>
        <v/>
      </c>
      <c r="I263">
        <f>IF(ISBLANK(A263), "", D263 - XLOOKUP(A263, Inventory!A:A, Inventory!H:H, TODAY()))</f>
        <v/>
      </c>
    </row>
    <row r="264">
      <c r="E264">
        <f>IF(ISBLANK(A264), "", XLOOKUP(A264, Inventory!A:A, Inventory!E:E, 0))</f>
        <v/>
      </c>
      <c r="F264">
        <f>IF(ISBLANK(A264), "", (B264 * XLOOKUP(C264, 'Fees &amp; Postage Table'!A:A, 'Fees &amp; Postage Table'!C:C, 0)) + XLOOKUP(C264, 'Fees &amp; Postage Table'!A:A, 'Fees &amp; Postage Table'!B:B, 0))</f>
        <v/>
      </c>
      <c r="G264">
        <f>IF(ISBLANK(A264), "", XLOOKUP(C264, 'Fees &amp; Postage Table'!A:A, 'Fees &amp; Postage Table'!D:D, 0))</f>
        <v/>
      </c>
      <c r="H264">
        <f>IF(ISBLANK(A264), "", B264 - E264 - F264 - G264)</f>
        <v/>
      </c>
      <c r="I264">
        <f>IF(ISBLANK(A264), "", D264 - XLOOKUP(A264, Inventory!A:A, Inventory!H:H, TODAY()))</f>
        <v/>
      </c>
    </row>
    <row r="265">
      <c r="E265">
        <f>IF(ISBLANK(A265), "", XLOOKUP(A265, Inventory!A:A, Inventory!E:E, 0))</f>
        <v/>
      </c>
      <c r="F265">
        <f>IF(ISBLANK(A265), "", (B265 * XLOOKUP(C265, 'Fees &amp; Postage Table'!A:A, 'Fees &amp; Postage Table'!C:C, 0)) + XLOOKUP(C265, 'Fees &amp; Postage Table'!A:A, 'Fees &amp; Postage Table'!B:B, 0))</f>
        <v/>
      </c>
      <c r="G265">
        <f>IF(ISBLANK(A265), "", XLOOKUP(C265, 'Fees &amp; Postage Table'!A:A, 'Fees &amp; Postage Table'!D:D, 0))</f>
        <v/>
      </c>
      <c r="H265">
        <f>IF(ISBLANK(A265), "", B265 - E265 - F265 - G265)</f>
        <v/>
      </c>
      <c r="I265">
        <f>IF(ISBLANK(A265), "", D265 - XLOOKUP(A265, Inventory!A:A, Inventory!H:H, TODAY()))</f>
        <v/>
      </c>
    </row>
    <row r="266">
      <c r="E266">
        <f>IF(ISBLANK(A266), "", XLOOKUP(A266, Inventory!A:A, Inventory!E:E, 0))</f>
        <v/>
      </c>
      <c r="F266">
        <f>IF(ISBLANK(A266), "", (B266 * XLOOKUP(C266, 'Fees &amp; Postage Table'!A:A, 'Fees &amp; Postage Table'!C:C, 0)) + XLOOKUP(C266, 'Fees &amp; Postage Table'!A:A, 'Fees &amp; Postage Table'!B:B, 0))</f>
        <v/>
      </c>
      <c r="G266">
        <f>IF(ISBLANK(A266), "", XLOOKUP(C266, 'Fees &amp; Postage Table'!A:A, 'Fees &amp; Postage Table'!D:D, 0))</f>
        <v/>
      </c>
      <c r="H266">
        <f>IF(ISBLANK(A266), "", B266 - E266 - F266 - G266)</f>
        <v/>
      </c>
      <c r="I266">
        <f>IF(ISBLANK(A266), "", D266 - XLOOKUP(A266, Inventory!A:A, Inventory!H:H, TODAY()))</f>
        <v/>
      </c>
    </row>
    <row r="267">
      <c r="E267">
        <f>IF(ISBLANK(A267), "", XLOOKUP(A267, Inventory!A:A, Inventory!E:E, 0))</f>
        <v/>
      </c>
      <c r="F267">
        <f>IF(ISBLANK(A267), "", (B267 * XLOOKUP(C267, 'Fees &amp; Postage Table'!A:A, 'Fees &amp; Postage Table'!C:C, 0)) + XLOOKUP(C267, 'Fees &amp; Postage Table'!A:A, 'Fees &amp; Postage Table'!B:B, 0))</f>
        <v/>
      </c>
      <c r="G267">
        <f>IF(ISBLANK(A267), "", XLOOKUP(C267, 'Fees &amp; Postage Table'!A:A, 'Fees &amp; Postage Table'!D:D, 0))</f>
        <v/>
      </c>
      <c r="H267">
        <f>IF(ISBLANK(A267), "", B267 - E267 - F267 - G267)</f>
        <v/>
      </c>
      <c r="I267">
        <f>IF(ISBLANK(A267), "", D267 - XLOOKUP(A267, Inventory!A:A, Inventory!H:H, TODAY()))</f>
        <v/>
      </c>
    </row>
    <row r="268">
      <c r="E268">
        <f>IF(ISBLANK(A268), "", XLOOKUP(A268, Inventory!A:A, Inventory!E:E, 0))</f>
        <v/>
      </c>
      <c r="F268">
        <f>IF(ISBLANK(A268), "", (B268 * XLOOKUP(C268, 'Fees &amp; Postage Table'!A:A, 'Fees &amp; Postage Table'!C:C, 0)) + XLOOKUP(C268, 'Fees &amp; Postage Table'!A:A, 'Fees &amp; Postage Table'!B:B, 0))</f>
        <v/>
      </c>
      <c r="G268">
        <f>IF(ISBLANK(A268), "", XLOOKUP(C268, 'Fees &amp; Postage Table'!A:A, 'Fees &amp; Postage Table'!D:D, 0))</f>
        <v/>
      </c>
      <c r="H268">
        <f>IF(ISBLANK(A268), "", B268 - E268 - F268 - G268)</f>
        <v/>
      </c>
      <c r="I268">
        <f>IF(ISBLANK(A268), "", D268 - XLOOKUP(A268, Inventory!A:A, Inventory!H:H, TODAY()))</f>
        <v/>
      </c>
    </row>
    <row r="269">
      <c r="E269">
        <f>IF(ISBLANK(A269), "", XLOOKUP(A269, Inventory!A:A, Inventory!E:E, 0))</f>
        <v/>
      </c>
      <c r="F269">
        <f>IF(ISBLANK(A269), "", (B269 * XLOOKUP(C269, 'Fees &amp; Postage Table'!A:A, 'Fees &amp; Postage Table'!C:C, 0)) + XLOOKUP(C269, 'Fees &amp; Postage Table'!A:A, 'Fees &amp; Postage Table'!B:B, 0))</f>
        <v/>
      </c>
      <c r="G269">
        <f>IF(ISBLANK(A269), "", XLOOKUP(C269, 'Fees &amp; Postage Table'!A:A, 'Fees &amp; Postage Table'!D:D, 0))</f>
        <v/>
      </c>
      <c r="H269">
        <f>IF(ISBLANK(A269), "", B269 - E269 - F269 - G269)</f>
        <v/>
      </c>
      <c r="I269">
        <f>IF(ISBLANK(A269), "", D269 - XLOOKUP(A269, Inventory!A:A, Inventory!H:H, TODAY()))</f>
        <v/>
      </c>
    </row>
    <row r="270">
      <c r="E270">
        <f>IF(ISBLANK(A270), "", XLOOKUP(A270, Inventory!A:A, Inventory!E:E, 0))</f>
        <v/>
      </c>
      <c r="F270">
        <f>IF(ISBLANK(A270), "", (B270 * XLOOKUP(C270, 'Fees &amp; Postage Table'!A:A, 'Fees &amp; Postage Table'!C:C, 0)) + XLOOKUP(C270, 'Fees &amp; Postage Table'!A:A, 'Fees &amp; Postage Table'!B:B, 0))</f>
        <v/>
      </c>
      <c r="G270">
        <f>IF(ISBLANK(A270), "", XLOOKUP(C270, 'Fees &amp; Postage Table'!A:A, 'Fees &amp; Postage Table'!D:D, 0))</f>
        <v/>
      </c>
      <c r="H270">
        <f>IF(ISBLANK(A270), "", B270 - E270 - F270 - G270)</f>
        <v/>
      </c>
      <c r="I270">
        <f>IF(ISBLANK(A270), "", D270 - XLOOKUP(A270, Inventory!A:A, Inventory!H:H, TODAY()))</f>
        <v/>
      </c>
    </row>
    <row r="271">
      <c r="E271">
        <f>IF(ISBLANK(A271), "", XLOOKUP(A271, Inventory!A:A, Inventory!E:E, 0))</f>
        <v/>
      </c>
      <c r="F271">
        <f>IF(ISBLANK(A271), "", (B271 * XLOOKUP(C271, 'Fees &amp; Postage Table'!A:A, 'Fees &amp; Postage Table'!C:C, 0)) + XLOOKUP(C271, 'Fees &amp; Postage Table'!A:A, 'Fees &amp; Postage Table'!B:B, 0))</f>
        <v/>
      </c>
      <c r="G271">
        <f>IF(ISBLANK(A271), "", XLOOKUP(C271, 'Fees &amp; Postage Table'!A:A, 'Fees &amp; Postage Table'!D:D, 0))</f>
        <v/>
      </c>
      <c r="H271">
        <f>IF(ISBLANK(A271), "", B271 - E271 - F271 - G271)</f>
        <v/>
      </c>
      <c r="I271">
        <f>IF(ISBLANK(A271), "", D271 - XLOOKUP(A271, Inventory!A:A, Inventory!H:H, TODAY()))</f>
        <v/>
      </c>
    </row>
    <row r="272">
      <c r="E272">
        <f>IF(ISBLANK(A272), "", XLOOKUP(A272, Inventory!A:A, Inventory!E:E, 0))</f>
        <v/>
      </c>
      <c r="F272">
        <f>IF(ISBLANK(A272), "", (B272 * XLOOKUP(C272, 'Fees &amp; Postage Table'!A:A, 'Fees &amp; Postage Table'!C:C, 0)) + XLOOKUP(C272, 'Fees &amp; Postage Table'!A:A, 'Fees &amp; Postage Table'!B:B, 0))</f>
        <v/>
      </c>
      <c r="G272">
        <f>IF(ISBLANK(A272), "", XLOOKUP(C272, 'Fees &amp; Postage Table'!A:A, 'Fees &amp; Postage Table'!D:D, 0))</f>
        <v/>
      </c>
      <c r="H272">
        <f>IF(ISBLANK(A272), "", B272 - E272 - F272 - G272)</f>
        <v/>
      </c>
      <c r="I272">
        <f>IF(ISBLANK(A272), "", D272 - XLOOKUP(A272, Inventory!A:A, Inventory!H:H, TODAY()))</f>
        <v/>
      </c>
    </row>
    <row r="273">
      <c r="E273">
        <f>IF(ISBLANK(A273), "", XLOOKUP(A273, Inventory!A:A, Inventory!E:E, 0))</f>
        <v/>
      </c>
      <c r="F273">
        <f>IF(ISBLANK(A273), "", (B273 * XLOOKUP(C273, 'Fees &amp; Postage Table'!A:A, 'Fees &amp; Postage Table'!C:C, 0)) + XLOOKUP(C273, 'Fees &amp; Postage Table'!A:A, 'Fees &amp; Postage Table'!B:B, 0))</f>
        <v/>
      </c>
      <c r="G273">
        <f>IF(ISBLANK(A273), "", XLOOKUP(C273, 'Fees &amp; Postage Table'!A:A, 'Fees &amp; Postage Table'!D:D, 0))</f>
        <v/>
      </c>
      <c r="H273">
        <f>IF(ISBLANK(A273), "", B273 - E273 - F273 - G273)</f>
        <v/>
      </c>
      <c r="I273">
        <f>IF(ISBLANK(A273), "", D273 - XLOOKUP(A273, Inventory!A:A, Inventory!H:H, TODAY()))</f>
        <v/>
      </c>
    </row>
    <row r="274">
      <c r="E274">
        <f>IF(ISBLANK(A274), "", XLOOKUP(A274, Inventory!A:A, Inventory!E:E, 0))</f>
        <v/>
      </c>
      <c r="F274">
        <f>IF(ISBLANK(A274), "", (B274 * XLOOKUP(C274, 'Fees &amp; Postage Table'!A:A, 'Fees &amp; Postage Table'!C:C, 0)) + XLOOKUP(C274, 'Fees &amp; Postage Table'!A:A, 'Fees &amp; Postage Table'!B:B, 0))</f>
        <v/>
      </c>
      <c r="G274">
        <f>IF(ISBLANK(A274), "", XLOOKUP(C274, 'Fees &amp; Postage Table'!A:A, 'Fees &amp; Postage Table'!D:D, 0))</f>
        <v/>
      </c>
      <c r="H274">
        <f>IF(ISBLANK(A274), "", B274 - E274 - F274 - G274)</f>
        <v/>
      </c>
      <c r="I274">
        <f>IF(ISBLANK(A274), "", D274 - XLOOKUP(A274, Inventory!A:A, Inventory!H:H, TODAY()))</f>
        <v/>
      </c>
    </row>
    <row r="275">
      <c r="E275">
        <f>IF(ISBLANK(A275), "", XLOOKUP(A275, Inventory!A:A, Inventory!E:E, 0))</f>
        <v/>
      </c>
      <c r="F275">
        <f>IF(ISBLANK(A275), "", (B275 * XLOOKUP(C275, 'Fees &amp; Postage Table'!A:A, 'Fees &amp; Postage Table'!C:C, 0)) + XLOOKUP(C275, 'Fees &amp; Postage Table'!A:A, 'Fees &amp; Postage Table'!B:B, 0))</f>
        <v/>
      </c>
      <c r="G275">
        <f>IF(ISBLANK(A275), "", XLOOKUP(C275, 'Fees &amp; Postage Table'!A:A, 'Fees &amp; Postage Table'!D:D, 0))</f>
        <v/>
      </c>
      <c r="H275">
        <f>IF(ISBLANK(A275), "", B275 - E275 - F275 - G275)</f>
        <v/>
      </c>
      <c r="I275">
        <f>IF(ISBLANK(A275), "", D275 - XLOOKUP(A275, Inventory!A:A, Inventory!H:H, TODAY()))</f>
        <v/>
      </c>
    </row>
    <row r="276">
      <c r="E276">
        <f>IF(ISBLANK(A276), "", XLOOKUP(A276, Inventory!A:A, Inventory!E:E, 0))</f>
        <v/>
      </c>
      <c r="F276">
        <f>IF(ISBLANK(A276), "", (B276 * XLOOKUP(C276, 'Fees &amp; Postage Table'!A:A, 'Fees &amp; Postage Table'!C:C, 0)) + XLOOKUP(C276, 'Fees &amp; Postage Table'!A:A, 'Fees &amp; Postage Table'!B:B, 0))</f>
        <v/>
      </c>
      <c r="G276">
        <f>IF(ISBLANK(A276), "", XLOOKUP(C276, 'Fees &amp; Postage Table'!A:A, 'Fees &amp; Postage Table'!D:D, 0))</f>
        <v/>
      </c>
      <c r="H276">
        <f>IF(ISBLANK(A276), "", B276 - E276 - F276 - G276)</f>
        <v/>
      </c>
      <c r="I276">
        <f>IF(ISBLANK(A276), "", D276 - XLOOKUP(A276, Inventory!A:A, Inventory!H:H, TODAY()))</f>
        <v/>
      </c>
    </row>
    <row r="277">
      <c r="E277">
        <f>IF(ISBLANK(A277), "", XLOOKUP(A277, Inventory!A:A, Inventory!E:E, 0))</f>
        <v/>
      </c>
      <c r="F277">
        <f>IF(ISBLANK(A277), "", (B277 * XLOOKUP(C277, 'Fees &amp; Postage Table'!A:A, 'Fees &amp; Postage Table'!C:C, 0)) + XLOOKUP(C277, 'Fees &amp; Postage Table'!A:A, 'Fees &amp; Postage Table'!B:B, 0))</f>
        <v/>
      </c>
      <c r="G277">
        <f>IF(ISBLANK(A277), "", XLOOKUP(C277, 'Fees &amp; Postage Table'!A:A, 'Fees &amp; Postage Table'!D:D, 0))</f>
        <v/>
      </c>
      <c r="H277">
        <f>IF(ISBLANK(A277), "", B277 - E277 - F277 - G277)</f>
        <v/>
      </c>
      <c r="I277">
        <f>IF(ISBLANK(A277), "", D277 - XLOOKUP(A277, Inventory!A:A, Inventory!H:H, TODAY()))</f>
        <v/>
      </c>
    </row>
    <row r="278">
      <c r="E278">
        <f>IF(ISBLANK(A278), "", XLOOKUP(A278, Inventory!A:A, Inventory!E:E, 0))</f>
        <v/>
      </c>
      <c r="F278">
        <f>IF(ISBLANK(A278), "", (B278 * XLOOKUP(C278, 'Fees &amp; Postage Table'!A:A, 'Fees &amp; Postage Table'!C:C, 0)) + XLOOKUP(C278, 'Fees &amp; Postage Table'!A:A, 'Fees &amp; Postage Table'!B:B, 0))</f>
        <v/>
      </c>
      <c r="G278">
        <f>IF(ISBLANK(A278), "", XLOOKUP(C278, 'Fees &amp; Postage Table'!A:A, 'Fees &amp; Postage Table'!D:D, 0))</f>
        <v/>
      </c>
      <c r="H278">
        <f>IF(ISBLANK(A278), "", B278 - E278 - F278 - G278)</f>
        <v/>
      </c>
      <c r="I278">
        <f>IF(ISBLANK(A278), "", D278 - XLOOKUP(A278, Inventory!A:A, Inventory!H:H, TODAY()))</f>
        <v/>
      </c>
    </row>
    <row r="279">
      <c r="E279">
        <f>IF(ISBLANK(A279), "", XLOOKUP(A279, Inventory!A:A, Inventory!E:E, 0))</f>
        <v/>
      </c>
      <c r="F279">
        <f>IF(ISBLANK(A279), "", (B279 * XLOOKUP(C279, 'Fees &amp; Postage Table'!A:A, 'Fees &amp; Postage Table'!C:C, 0)) + XLOOKUP(C279, 'Fees &amp; Postage Table'!A:A, 'Fees &amp; Postage Table'!B:B, 0))</f>
        <v/>
      </c>
      <c r="G279">
        <f>IF(ISBLANK(A279), "", XLOOKUP(C279, 'Fees &amp; Postage Table'!A:A, 'Fees &amp; Postage Table'!D:D, 0))</f>
        <v/>
      </c>
      <c r="H279">
        <f>IF(ISBLANK(A279), "", B279 - E279 - F279 - G279)</f>
        <v/>
      </c>
      <c r="I279">
        <f>IF(ISBLANK(A279), "", D279 - XLOOKUP(A279, Inventory!A:A, Inventory!H:H, TODAY()))</f>
        <v/>
      </c>
    </row>
    <row r="280">
      <c r="E280">
        <f>IF(ISBLANK(A280), "", XLOOKUP(A280, Inventory!A:A, Inventory!E:E, 0))</f>
        <v/>
      </c>
      <c r="F280">
        <f>IF(ISBLANK(A280), "", (B280 * XLOOKUP(C280, 'Fees &amp; Postage Table'!A:A, 'Fees &amp; Postage Table'!C:C, 0)) + XLOOKUP(C280, 'Fees &amp; Postage Table'!A:A, 'Fees &amp; Postage Table'!B:B, 0))</f>
        <v/>
      </c>
      <c r="G280">
        <f>IF(ISBLANK(A280), "", XLOOKUP(C280, 'Fees &amp; Postage Table'!A:A, 'Fees &amp; Postage Table'!D:D, 0))</f>
        <v/>
      </c>
      <c r="H280">
        <f>IF(ISBLANK(A280), "", B280 - E280 - F280 - G280)</f>
        <v/>
      </c>
      <c r="I280">
        <f>IF(ISBLANK(A280), "", D280 - XLOOKUP(A280, Inventory!A:A, Inventory!H:H, TODAY()))</f>
        <v/>
      </c>
    </row>
    <row r="281">
      <c r="E281">
        <f>IF(ISBLANK(A281), "", XLOOKUP(A281, Inventory!A:A, Inventory!E:E, 0))</f>
        <v/>
      </c>
      <c r="F281">
        <f>IF(ISBLANK(A281), "", (B281 * XLOOKUP(C281, 'Fees &amp; Postage Table'!A:A, 'Fees &amp; Postage Table'!C:C, 0)) + XLOOKUP(C281, 'Fees &amp; Postage Table'!A:A, 'Fees &amp; Postage Table'!B:B, 0))</f>
        <v/>
      </c>
      <c r="G281">
        <f>IF(ISBLANK(A281), "", XLOOKUP(C281, 'Fees &amp; Postage Table'!A:A, 'Fees &amp; Postage Table'!D:D, 0))</f>
        <v/>
      </c>
      <c r="H281">
        <f>IF(ISBLANK(A281), "", B281 - E281 - F281 - G281)</f>
        <v/>
      </c>
      <c r="I281">
        <f>IF(ISBLANK(A281), "", D281 - XLOOKUP(A281, Inventory!A:A, Inventory!H:H, TODAY()))</f>
        <v/>
      </c>
    </row>
    <row r="282">
      <c r="E282">
        <f>IF(ISBLANK(A282), "", XLOOKUP(A282, Inventory!A:A, Inventory!E:E, 0))</f>
        <v/>
      </c>
      <c r="F282">
        <f>IF(ISBLANK(A282), "", (B282 * XLOOKUP(C282, 'Fees &amp; Postage Table'!A:A, 'Fees &amp; Postage Table'!C:C, 0)) + XLOOKUP(C282, 'Fees &amp; Postage Table'!A:A, 'Fees &amp; Postage Table'!B:B, 0))</f>
        <v/>
      </c>
      <c r="G282">
        <f>IF(ISBLANK(A282), "", XLOOKUP(C282, 'Fees &amp; Postage Table'!A:A, 'Fees &amp; Postage Table'!D:D, 0))</f>
        <v/>
      </c>
      <c r="H282">
        <f>IF(ISBLANK(A282), "", B282 - E282 - F282 - G282)</f>
        <v/>
      </c>
      <c r="I282">
        <f>IF(ISBLANK(A282), "", D282 - XLOOKUP(A282, Inventory!A:A, Inventory!H:H, TODAY()))</f>
        <v/>
      </c>
    </row>
    <row r="283">
      <c r="E283">
        <f>IF(ISBLANK(A283), "", XLOOKUP(A283, Inventory!A:A, Inventory!E:E, 0))</f>
        <v/>
      </c>
      <c r="F283">
        <f>IF(ISBLANK(A283), "", (B283 * XLOOKUP(C283, 'Fees &amp; Postage Table'!A:A, 'Fees &amp; Postage Table'!C:C, 0)) + XLOOKUP(C283, 'Fees &amp; Postage Table'!A:A, 'Fees &amp; Postage Table'!B:B, 0))</f>
        <v/>
      </c>
      <c r="G283">
        <f>IF(ISBLANK(A283), "", XLOOKUP(C283, 'Fees &amp; Postage Table'!A:A, 'Fees &amp; Postage Table'!D:D, 0))</f>
        <v/>
      </c>
      <c r="H283">
        <f>IF(ISBLANK(A283), "", B283 - E283 - F283 - G283)</f>
        <v/>
      </c>
      <c r="I283">
        <f>IF(ISBLANK(A283), "", D283 - XLOOKUP(A283, Inventory!A:A, Inventory!H:H, TODAY()))</f>
        <v/>
      </c>
    </row>
    <row r="284">
      <c r="E284">
        <f>IF(ISBLANK(A284), "", XLOOKUP(A284, Inventory!A:A, Inventory!E:E, 0))</f>
        <v/>
      </c>
      <c r="F284">
        <f>IF(ISBLANK(A284), "", (B284 * XLOOKUP(C284, 'Fees &amp; Postage Table'!A:A, 'Fees &amp; Postage Table'!C:C, 0)) + XLOOKUP(C284, 'Fees &amp; Postage Table'!A:A, 'Fees &amp; Postage Table'!B:B, 0))</f>
        <v/>
      </c>
      <c r="G284">
        <f>IF(ISBLANK(A284), "", XLOOKUP(C284, 'Fees &amp; Postage Table'!A:A, 'Fees &amp; Postage Table'!D:D, 0))</f>
        <v/>
      </c>
      <c r="H284">
        <f>IF(ISBLANK(A284), "", B284 - E284 - F284 - G284)</f>
        <v/>
      </c>
      <c r="I284">
        <f>IF(ISBLANK(A284), "", D284 - XLOOKUP(A284, Inventory!A:A, Inventory!H:H, TODAY()))</f>
        <v/>
      </c>
    </row>
    <row r="285">
      <c r="E285">
        <f>IF(ISBLANK(A285), "", XLOOKUP(A285, Inventory!A:A, Inventory!E:E, 0))</f>
        <v/>
      </c>
      <c r="F285">
        <f>IF(ISBLANK(A285), "", (B285 * XLOOKUP(C285, 'Fees &amp; Postage Table'!A:A, 'Fees &amp; Postage Table'!C:C, 0)) + XLOOKUP(C285, 'Fees &amp; Postage Table'!A:A, 'Fees &amp; Postage Table'!B:B, 0))</f>
        <v/>
      </c>
      <c r="G285">
        <f>IF(ISBLANK(A285), "", XLOOKUP(C285, 'Fees &amp; Postage Table'!A:A, 'Fees &amp; Postage Table'!D:D, 0))</f>
        <v/>
      </c>
      <c r="H285">
        <f>IF(ISBLANK(A285), "", B285 - E285 - F285 - G285)</f>
        <v/>
      </c>
      <c r="I285">
        <f>IF(ISBLANK(A285), "", D285 - XLOOKUP(A285, Inventory!A:A, Inventory!H:H, TODAY()))</f>
        <v/>
      </c>
    </row>
    <row r="286">
      <c r="E286">
        <f>IF(ISBLANK(A286), "", XLOOKUP(A286, Inventory!A:A, Inventory!E:E, 0))</f>
        <v/>
      </c>
      <c r="F286">
        <f>IF(ISBLANK(A286), "", (B286 * XLOOKUP(C286, 'Fees &amp; Postage Table'!A:A, 'Fees &amp; Postage Table'!C:C, 0)) + XLOOKUP(C286, 'Fees &amp; Postage Table'!A:A, 'Fees &amp; Postage Table'!B:B, 0))</f>
        <v/>
      </c>
      <c r="G286">
        <f>IF(ISBLANK(A286), "", XLOOKUP(C286, 'Fees &amp; Postage Table'!A:A, 'Fees &amp; Postage Table'!D:D, 0))</f>
        <v/>
      </c>
      <c r="H286">
        <f>IF(ISBLANK(A286), "", B286 - E286 - F286 - G286)</f>
        <v/>
      </c>
      <c r="I286">
        <f>IF(ISBLANK(A286), "", D286 - XLOOKUP(A286, Inventory!A:A, Inventory!H:H, TODAY()))</f>
        <v/>
      </c>
    </row>
    <row r="287">
      <c r="E287">
        <f>IF(ISBLANK(A287), "", XLOOKUP(A287, Inventory!A:A, Inventory!E:E, 0))</f>
        <v/>
      </c>
      <c r="F287">
        <f>IF(ISBLANK(A287), "", (B287 * XLOOKUP(C287, 'Fees &amp; Postage Table'!A:A, 'Fees &amp; Postage Table'!C:C, 0)) + XLOOKUP(C287, 'Fees &amp; Postage Table'!A:A, 'Fees &amp; Postage Table'!B:B, 0))</f>
        <v/>
      </c>
      <c r="G287">
        <f>IF(ISBLANK(A287), "", XLOOKUP(C287, 'Fees &amp; Postage Table'!A:A, 'Fees &amp; Postage Table'!D:D, 0))</f>
        <v/>
      </c>
      <c r="H287">
        <f>IF(ISBLANK(A287), "", B287 - E287 - F287 - G287)</f>
        <v/>
      </c>
      <c r="I287">
        <f>IF(ISBLANK(A287), "", D287 - XLOOKUP(A287, Inventory!A:A, Inventory!H:H, TODAY()))</f>
        <v/>
      </c>
    </row>
    <row r="288">
      <c r="E288">
        <f>IF(ISBLANK(A288), "", XLOOKUP(A288, Inventory!A:A, Inventory!E:E, 0))</f>
        <v/>
      </c>
      <c r="F288">
        <f>IF(ISBLANK(A288), "", (B288 * XLOOKUP(C288, 'Fees &amp; Postage Table'!A:A, 'Fees &amp; Postage Table'!C:C, 0)) + XLOOKUP(C288, 'Fees &amp; Postage Table'!A:A, 'Fees &amp; Postage Table'!B:B, 0))</f>
        <v/>
      </c>
      <c r="G288">
        <f>IF(ISBLANK(A288), "", XLOOKUP(C288, 'Fees &amp; Postage Table'!A:A, 'Fees &amp; Postage Table'!D:D, 0))</f>
        <v/>
      </c>
      <c r="H288">
        <f>IF(ISBLANK(A288), "", B288 - E288 - F288 - G288)</f>
        <v/>
      </c>
      <c r="I288">
        <f>IF(ISBLANK(A288), "", D288 - XLOOKUP(A288, Inventory!A:A, Inventory!H:H, TODAY()))</f>
        <v/>
      </c>
    </row>
    <row r="289">
      <c r="E289">
        <f>IF(ISBLANK(A289), "", XLOOKUP(A289, Inventory!A:A, Inventory!E:E, 0))</f>
        <v/>
      </c>
      <c r="F289">
        <f>IF(ISBLANK(A289), "", (B289 * XLOOKUP(C289, 'Fees &amp; Postage Table'!A:A, 'Fees &amp; Postage Table'!C:C, 0)) + XLOOKUP(C289, 'Fees &amp; Postage Table'!A:A, 'Fees &amp; Postage Table'!B:B, 0))</f>
        <v/>
      </c>
      <c r="G289">
        <f>IF(ISBLANK(A289), "", XLOOKUP(C289, 'Fees &amp; Postage Table'!A:A, 'Fees &amp; Postage Table'!D:D, 0))</f>
        <v/>
      </c>
      <c r="H289">
        <f>IF(ISBLANK(A289), "", B289 - E289 - F289 - G289)</f>
        <v/>
      </c>
      <c r="I289">
        <f>IF(ISBLANK(A289), "", D289 - XLOOKUP(A289, Inventory!A:A, Inventory!H:H, TODAY()))</f>
        <v/>
      </c>
    </row>
    <row r="290">
      <c r="E290">
        <f>IF(ISBLANK(A290), "", XLOOKUP(A290, Inventory!A:A, Inventory!E:E, 0))</f>
        <v/>
      </c>
      <c r="F290">
        <f>IF(ISBLANK(A290), "", (B290 * XLOOKUP(C290, 'Fees &amp; Postage Table'!A:A, 'Fees &amp; Postage Table'!C:C, 0)) + XLOOKUP(C290, 'Fees &amp; Postage Table'!A:A, 'Fees &amp; Postage Table'!B:B, 0))</f>
        <v/>
      </c>
      <c r="G290">
        <f>IF(ISBLANK(A290), "", XLOOKUP(C290, 'Fees &amp; Postage Table'!A:A, 'Fees &amp; Postage Table'!D:D, 0))</f>
        <v/>
      </c>
      <c r="H290">
        <f>IF(ISBLANK(A290), "", B290 - E290 - F290 - G290)</f>
        <v/>
      </c>
      <c r="I290">
        <f>IF(ISBLANK(A290), "", D290 - XLOOKUP(A290, Inventory!A:A, Inventory!H:H, TODAY()))</f>
        <v/>
      </c>
    </row>
    <row r="291">
      <c r="E291">
        <f>IF(ISBLANK(A291), "", XLOOKUP(A291, Inventory!A:A, Inventory!E:E, 0))</f>
        <v/>
      </c>
      <c r="F291">
        <f>IF(ISBLANK(A291), "", (B291 * XLOOKUP(C291, 'Fees &amp; Postage Table'!A:A, 'Fees &amp; Postage Table'!C:C, 0)) + XLOOKUP(C291, 'Fees &amp; Postage Table'!A:A, 'Fees &amp; Postage Table'!B:B, 0))</f>
        <v/>
      </c>
      <c r="G291">
        <f>IF(ISBLANK(A291), "", XLOOKUP(C291, 'Fees &amp; Postage Table'!A:A, 'Fees &amp; Postage Table'!D:D, 0))</f>
        <v/>
      </c>
      <c r="H291">
        <f>IF(ISBLANK(A291), "", B291 - E291 - F291 - G291)</f>
        <v/>
      </c>
      <c r="I291">
        <f>IF(ISBLANK(A291), "", D291 - XLOOKUP(A291, Inventory!A:A, Inventory!H:H, TODAY()))</f>
        <v/>
      </c>
    </row>
    <row r="292">
      <c r="E292">
        <f>IF(ISBLANK(A292), "", XLOOKUP(A292, Inventory!A:A, Inventory!E:E, 0))</f>
        <v/>
      </c>
      <c r="F292">
        <f>IF(ISBLANK(A292), "", (B292 * XLOOKUP(C292, 'Fees &amp; Postage Table'!A:A, 'Fees &amp; Postage Table'!C:C, 0)) + XLOOKUP(C292, 'Fees &amp; Postage Table'!A:A, 'Fees &amp; Postage Table'!B:B, 0))</f>
        <v/>
      </c>
      <c r="G292">
        <f>IF(ISBLANK(A292), "", XLOOKUP(C292, 'Fees &amp; Postage Table'!A:A, 'Fees &amp; Postage Table'!D:D, 0))</f>
        <v/>
      </c>
      <c r="H292">
        <f>IF(ISBLANK(A292), "", B292 - E292 - F292 - G292)</f>
        <v/>
      </c>
      <c r="I292">
        <f>IF(ISBLANK(A292), "", D292 - XLOOKUP(A292, Inventory!A:A, Inventory!H:H, TODAY()))</f>
        <v/>
      </c>
    </row>
    <row r="293">
      <c r="E293">
        <f>IF(ISBLANK(A293), "", XLOOKUP(A293, Inventory!A:A, Inventory!E:E, 0))</f>
        <v/>
      </c>
      <c r="F293">
        <f>IF(ISBLANK(A293), "", (B293 * XLOOKUP(C293, 'Fees &amp; Postage Table'!A:A, 'Fees &amp; Postage Table'!C:C, 0)) + XLOOKUP(C293, 'Fees &amp; Postage Table'!A:A, 'Fees &amp; Postage Table'!B:B, 0))</f>
        <v/>
      </c>
      <c r="G293">
        <f>IF(ISBLANK(A293), "", XLOOKUP(C293, 'Fees &amp; Postage Table'!A:A, 'Fees &amp; Postage Table'!D:D, 0))</f>
        <v/>
      </c>
      <c r="H293">
        <f>IF(ISBLANK(A293), "", B293 - E293 - F293 - G293)</f>
        <v/>
      </c>
      <c r="I293">
        <f>IF(ISBLANK(A293), "", D293 - XLOOKUP(A293, Inventory!A:A, Inventory!H:H, TODAY()))</f>
        <v/>
      </c>
    </row>
    <row r="294">
      <c r="E294">
        <f>IF(ISBLANK(A294), "", XLOOKUP(A294, Inventory!A:A, Inventory!E:E, 0))</f>
        <v/>
      </c>
      <c r="F294">
        <f>IF(ISBLANK(A294), "", (B294 * XLOOKUP(C294, 'Fees &amp; Postage Table'!A:A, 'Fees &amp; Postage Table'!C:C, 0)) + XLOOKUP(C294, 'Fees &amp; Postage Table'!A:A, 'Fees &amp; Postage Table'!B:B, 0))</f>
        <v/>
      </c>
      <c r="G294">
        <f>IF(ISBLANK(A294), "", XLOOKUP(C294, 'Fees &amp; Postage Table'!A:A, 'Fees &amp; Postage Table'!D:D, 0))</f>
        <v/>
      </c>
      <c r="H294">
        <f>IF(ISBLANK(A294), "", B294 - E294 - F294 - G294)</f>
        <v/>
      </c>
      <c r="I294">
        <f>IF(ISBLANK(A294), "", D294 - XLOOKUP(A294, Inventory!A:A, Inventory!H:H, TODAY()))</f>
        <v/>
      </c>
    </row>
    <row r="295">
      <c r="E295">
        <f>IF(ISBLANK(A295), "", XLOOKUP(A295, Inventory!A:A, Inventory!E:E, 0))</f>
        <v/>
      </c>
      <c r="F295">
        <f>IF(ISBLANK(A295), "", (B295 * XLOOKUP(C295, 'Fees &amp; Postage Table'!A:A, 'Fees &amp; Postage Table'!C:C, 0)) + XLOOKUP(C295, 'Fees &amp; Postage Table'!A:A, 'Fees &amp; Postage Table'!B:B, 0))</f>
        <v/>
      </c>
      <c r="G295">
        <f>IF(ISBLANK(A295), "", XLOOKUP(C295, 'Fees &amp; Postage Table'!A:A, 'Fees &amp; Postage Table'!D:D, 0))</f>
        <v/>
      </c>
      <c r="H295">
        <f>IF(ISBLANK(A295), "", B295 - E295 - F295 - G295)</f>
        <v/>
      </c>
      <c r="I295">
        <f>IF(ISBLANK(A295), "", D295 - XLOOKUP(A295, Inventory!A:A, Inventory!H:H, TODAY()))</f>
        <v/>
      </c>
    </row>
    <row r="296">
      <c r="E296">
        <f>IF(ISBLANK(A296), "", XLOOKUP(A296, Inventory!A:A, Inventory!E:E, 0))</f>
        <v/>
      </c>
      <c r="F296">
        <f>IF(ISBLANK(A296), "", (B296 * XLOOKUP(C296, 'Fees &amp; Postage Table'!A:A, 'Fees &amp; Postage Table'!C:C, 0)) + XLOOKUP(C296, 'Fees &amp; Postage Table'!A:A, 'Fees &amp; Postage Table'!B:B, 0))</f>
        <v/>
      </c>
      <c r="G296">
        <f>IF(ISBLANK(A296), "", XLOOKUP(C296, 'Fees &amp; Postage Table'!A:A, 'Fees &amp; Postage Table'!D:D, 0))</f>
        <v/>
      </c>
      <c r="H296">
        <f>IF(ISBLANK(A296), "", B296 - E296 - F296 - G296)</f>
        <v/>
      </c>
      <c r="I296">
        <f>IF(ISBLANK(A296), "", D296 - XLOOKUP(A296, Inventory!A:A, Inventory!H:H, TODAY()))</f>
        <v/>
      </c>
    </row>
    <row r="297">
      <c r="E297">
        <f>IF(ISBLANK(A297), "", XLOOKUP(A297, Inventory!A:A, Inventory!E:E, 0))</f>
        <v/>
      </c>
      <c r="F297">
        <f>IF(ISBLANK(A297), "", (B297 * XLOOKUP(C297, 'Fees &amp; Postage Table'!A:A, 'Fees &amp; Postage Table'!C:C, 0)) + XLOOKUP(C297, 'Fees &amp; Postage Table'!A:A, 'Fees &amp; Postage Table'!B:B, 0))</f>
        <v/>
      </c>
      <c r="G297">
        <f>IF(ISBLANK(A297), "", XLOOKUP(C297, 'Fees &amp; Postage Table'!A:A, 'Fees &amp; Postage Table'!D:D, 0))</f>
        <v/>
      </c>
      <c r="H297">
        <f>IF(ISBLANK(A297), "", B297 - E297 - F297 - G297)</f>
        <v/>
      </c>
      <c r="I297">
        <f>IF(ISBLANK(A297), "", D297 - XLOOKUP(A297, Inventory!A:A, Inventory!H:H, TODAY()))</f>
        <v/>
      </c>
    </row>
    <row r="298">
      <c r="E298">
        <f>IF(ISBLANK(A298), "", XLOOKUP(A298, Inventory!A:A, Inventory!E:E, 0))</f>
        <v/>
      </c>
      <c r="F298">
        <f>IF(ISBLANK(A298), "", (B298 * XLOOKUP(C298, 'Fees &amp; Postage Table'!A:A, 'Fees &amp; Postage Table'!C:C, 0)) + XLOOKUP(C298, 'Fees &amp; Postage Table'!A:A, 'Fees &amp; Postage Table'!B:B, 0))</f>
        <v/>
      </c>
      <c r="G298">
        <f>IF(ISBLANK(A298), "", XLOOKUP(C298, 'Fees &amp; Postage Table'!A:A, 'Fees &amp; Postage Table'!D:D, 0))</f>
        <v/>
      </c>
      <c r="H298">
        <f>IF(ISBLANK(A298), "", B298 - E298 - F298 - G298)</f>
        <v/>
      </c>
      <c r="I298">
        <f>IF(ISBLANK(A298), "", D298 - XLOOKUP(A298, Inventory!A:A, Inventory!H:H, TODAY()))</f>
        <v/>
      </c>
    </row>
    <row r="299">
      <c r="E299">
        <f>IF(ISBLANK(A299), "", XLOOKUP(A299, Inventory!A:A, Inventory!E:E, 0))</f>
        <v/>
      </c>
      <c r="F299">
        <f>IF(ISBLANK(A299), "", (B299 * XLOOKUP(C299, 'Fees &amp; Postage Table'!A:A, 'Fees &amp; Postage Table'!C:C, 0)) + XLOOKUP(C299, 'Fees &amp; Postage Table'!A:A, 'Fees &amp; Postage Table'!B:B, 0))</f>
        <v/>
      </c>
      <c r="G299">
        <f>IF(ISBLANK(A299), "", XLOOKUP(C299, 'Fees &amp; Postage Table'!A:A, 'Fees &amp; Postage Table'!D:D, 0))</f>
        <v/>
      </c>
      <c r="H299">
        <f>IF(ISBLANK(A299), "", B299 - E299 - F299 - G299)</f>
        <v/>
      </c>
      <c r="I299">
        <f>IF(ISBLANK(A299), "", D299 - XLOOKUP(A299, Inventory!A:A, Inventory!H:H, TODAY()))</f>
        <v/>
      </c>
    </row>
    <row r="300">
      <c r="E300">
        <f>IF(ISBLANK(A300), "", XLOOKUP(A300, Inventory!A:A, Inventory!E:E, 0))</f>
        <v/>
      </c>
      <c r="F300">
        <f>IF(ISBLANK(A300), "", (B300 * XLOOKUP(C300, 'Fees &amp; Postage Table'!A:A, 'Fees &amp; Postage Table'!C:C, 0)) + XLOOKUP(C300, 'Fees &amp; Postage Table'!A:A, 'Fees &amp; Postage Table'!B:B, 0))</f>
        <v/>
      </c>
      <c r="G300">
        <f>IF(ISBLANK(A300), "", XLOOKUP(C300, 'Fees &amp; Postage Table'!A:A, 'Fees &amp; Postage Table'!D:D, 0))</f>
        <v/>
      </c>
      <c r="H300">
        <f>IF(ISBLANK(A300), "", B300 - E300 - F300 - G300)</f>
        <v/>
      </c>
      <c r="I300">
        <f>IF(ISBLANK(A300), "", D300 - XLOOKUP(A300, Inventory!A:A, Inventory!H:H, TODAY()))</f>
        <v/>
      </c>
    </row>
    <row r="301">
      <c r="E301">
        <f>IF(ISBLANK(A301), "", XLOOKUP(A301, Inventory!A:A, Inventory!E:E, 0))</f>
        <v/>
      </c>
      <c r="F301">
        <f>IF(ISBLANK(A301), "", (B301 * XLOOKUP(C301, 'Fees &amp; Postage Table'!A:A, 'Fees &amp; Postage Table'!C:C, 0)) + XLOOKUP(C301, 'Fees &amp; Postage Table'!A:A, 'Fees &amp; Postage Table'!B:B, 0))</f>
        <v/>
      </c>
      <c r="G301">
        <f>IF(ISBLANK(A301), "", XLOOKUP(C301, 'Fees &amp; Postage Table'!A:A, 'Fees &amp; Postage Table'!D:D, 0))</f>
        <v/>
      </c>
      <c r="H301">
        <f>IF(ISBLANK(A301), "", B301 - E301 - F301 - G301)</f>
        <v/>
      </c>
      <c r="I301">
        <f>IF(ISBLANK(A301), "", D301 - XLOOKUP(A301, Inventory!A:A, Inventory!H:H, TODAY()))</f>
        <v/>
      </c>
    </row>
    <row r="302">
      <c r="E302">
        <f>IF(ISBLANK(A302), "", XLOOKUP(A302, Inventory!A:A, Inventory!E:E, 0))</f>
        <v/>
      </c>
      <c r="F302">
        <f>IF(ISBLANK(A302), "", (B302 * XLOOKUP(C302, 'Fees &amp; Postage Table'!A:A, 'Fees &amp; Postage Table'!C:C, 0)) + XLOOKUP(C302, 'Fees &amp; Postage Table'!A:A, 'Fees &amp; Postage Table'!B:B, 0))</f>
        <v/>
      </c>
      <c r="G302">
        <f>IF(ISBLANK(A302), "", XLOOKUP(C302, 'Fees &amp; Postage Table'!A:A, 'Fees &amp; Postage Table'!D:D, 0))</f>
        <v/>
      </c>
      <c r="H302">
        <f>IF(ISBLANK(A302), "", B302 - E302 - F302 - G302)</f>
        <v/>
      </c>
      <c r="I302">
        <f>IF(ISBLANK(A302), "", D302 - XLOOKUP(A302, Inventory!A:A, Inventory!H:H, TODAY()))</f>
        <v/>
      </c>
    </row>
    <row r="303">
      <c r="E303">
        <f>IF(ISBLANK(A303), "", XLOOKUP(A303, Inventory!A:A, Inventory!E:E, 0))</f>
        <v/>
      </c>
      <c r="F303">
        <f>IF(ISBLANK(A303), "", (B303 * XLOOKUP(C303, 'Fees &amp; Postage Table'!A:A, 'Fees &amp; Postage Table'!C:C, 0)) + XLOOKUP(C303, 'Fees &amp; Postage Table'!A:A, 'Fees &amp; Postage Table'!B:B, 0))</f>
        <v/>
      </c>
      <c r="G303">
        <f>IF(ISBLANK(A303), "", XLOOKUP(C303, 'Fees &amp; Postage Table'!A:A, 'Fees &amp; Postage Table'!D:D, 0))</f>
        <v/>
      </c>
      <c r="H303">
        <f>IF(ISBLANK(A303), "", B303 - E303 - F303 - G303)</f>
        <v/>
      </c>
      <c r="I303">
        <f>IF(ISBLANK(A303), "", D303 - XLOOKUP(A303, Inventory!A:A, Inventory!H:H, TODAY()))</f>
        <v/>
      </c>
    </row>
    <row r="304">
      <c r="E304">
        <f>IF(ISBLANK(A304), "", XLOOKUP(A304, Inventory!A:A, Inventory!E:E, 0))</f>
        <v/>
      </c>
      <c r="F304">
        <f>IF(ISBLANK(A304), "", (B304 * XLOOKUP(C304, 'Fees &amp; Postage Table'!A:A, 'Fees &amp; Postage Table'!C:C, 0)) + XLOOKUP(C304, 'Fees &amp; Postage Table'!A:A, 'Fees &amp; Postage Table'!B:B, 0))</f>
        <v/>
      </c>
      <c r="G304">
        <f>IF(ISBLANK(A304), "", XLOOKUP(C304, 'Fees &amp; Postage Table'!A:A, 'Fees &amp; Postage Table'!D:D, 0))</f>
        <v/>
      </c>
      <c r="H304">
        <f>IF(ISBLANK(A304), "", B304 - E304 - F304 - G304)</f>
        <v/>
      </c>
      <c r="I304">
        <f>IF(ISBLANK(A304), "", D304 - XLOOKUP(A304, Inventory!A:A, Inventory!H:H, TODAY()))</f>
        <v/>
      </c>
    </row>
    <row r="305">
      <c r="E305">
        <f>IF(ISBLANK(A305), "", XLOOKUP(A305, Inventory!A:A, Inventory!E:E, 0))</f>
        <v/>
      </c>
      <c r="F305">
        <f>IF(ISBLANK(A305), "", (B305 * XLOOKUP(C305, 'Fees &amp; Postage Table'!A:A, 'Fees &amp; Postage Table'!C:C, 0)) + XLOOKUP(C305, 'Fees &amp; Postage Table'!A:A, 'Fees &amp; Postage Table'!B:B, 0))</f>
        <v/>
      </c>
      <c r="G305">
        <f>IF(ISBLANK(A305), "", XLOOKUP(C305, 'Fees &amp; Postage Table'!A:A, 'Fees &amp; Postage Table'!D:D, 0))</f>
        <v/>
      </c>
      <c r="H305">
        <f>IF(ISBLANK(A305), "", B305 - E305 - F305 - G305)</f>
        <v/>
      </c>
      <c r="I305">
        <f>IF(ISBLANK(A305), "", D305 - XLOOKUP(A305, Inventory!A:A, Inventory!H:H, TODAY()))</f>
        <v/>
      </c>
    </row>
    <row r="306">
      <c r="E306">
        <f>IF(ISBLANK(A306), "", XLOOKUP(A306, Inventory!A:A, Inventory!E:E, 0))</f>
        <v/>
      </c>
      <c r="F306">
        <f>IF(ISBLANK(A306), "", (B306 * XLOOKUP(C306, 'Fees &amp; Postage Table'!A:A, 'Fees &amp; Postage Table'!C:C, 0)) + XLOOKUP(C306, 'Fees &amp; Postage Table'!A:A, 'Fees &amp; Postage Table'!B:B, 0))</f>
        <v/>
      </c>
      <c r="G306">
        <f>IF(ISBLANK(A306), "", XLOOKUP(C306, 'Fees &amp; Postage Table'!A:A, 'Fees &amp; Postage Table'!D:D, 0))</f>
        <v/>
      </c>
      <c r="H306">
        <f>IF(ISBLANK(A306), "", B306 - E306 - F306 - G306)</f>
        <v/>
      </c>
      <c r="I306">
        <f>IF(ISBLANK(A306), "", D306 - XLOOKUP(A306, Inventory!A:A, Inventory!H:H, TODAY()))</f>
        <v/>
      </c>
    </row>
    <row r="307">
      <c r="E307">
        <f>IF(ISBLANK(A307), "", XLOOKUP(A307, Inventory!A:A, Inventory!E:E, 0))</f>
        <v/>
      </c>
      <c r="F307">
        <f>IF(ISBLANK(A307), "", (B307 * XLOOKUP(C307, 'Fees &amp; Postage Table'!A:A, 'Fees &amp; Postage Table'!C:C, 0)) + XLOOKUP(C307, 'Fees &amp; Postage Table'!A:A, 'Fees &amp; Postage Table'!B:B, 0))</f>
        <v/>
      </c>
      <c r="G307">
        <f>IF(ISBLANK(A307), "", XLOOKUP(C307, 'Fees &amp; Postage Table'!A:A, 'Fees &amp; Postage Table'!D:D, 0))</f>
        <v/>
      </c>
      <c r="H307">
        <f>IF(ISBLANK(A307), "", B307 - E307 - F307 - G307)</f>
        <v/>
      </c>
      <c r="I307">
        <f>IF(ISBLANK(A307), "", D307 - XLOOKUP(A307, Inventory!A:A, Inventory!H:H, TODAY()))</f>
        <v/>
      </c>
    </row>
    <row r="308">
      <c r="E308">
        <f>IF(ISBLANK(A308), "", XLOOKUP(A308, Inventory!A:A, Inventory!E:E, 0))</f>
        <v/>
      </c>
      <c r="F308">
        <f>IF(ISBLANK(A308), "", (B308 * XLOOKUP(C308, 'Fees &amp; Postage Table'!A:A, 'Fees &amp; Postage Table'!C:C, 0)) + XLOOKUP(C308, 'Fees &amp; Postage Table'!A:A, 'Fees &amp; Postage Table'!B:B, 0))</f>
        <v/>
      </c>
      <c r="G308">
        <f>IF(ISBLANK(A308), "", XLOOKUP(C308, 'Fees &amp; Postage Table'!A:A, 'Fees &amp; Postage Table'!D:D, 0))</f>
        <v/>
      </c>
      <c r="H308">
        <f>IF(ISBLANK(A308), "", B308 - E308 - F308 - G308)</f>
        <v/>
      </c>
      <c r="I308">
        <f>IF(ISBLANK(A308), "", D308 - XLOOKUP(A308, Inventory!A:A, Inventory!H:H, TODAY()))</f>
        <v/>
      </c>
    </row>
    <row r="309">
      <c r="E309">
        <f>IF(ISBLANK(A309), "", XLOOKUP(A309, Inventory!A:A, Inventory!E:E, 0))</f>
        <v/>
      </c>
      <c r="F309">
        <f>IF(ISBLANK(A309), "", (B309 * XLOOKUP(C309, 'Fees &amp; Postage Table'!A:A, 'Fees &amp; Postage Table'!C:C, 0)) + XLOOKUP(C309, 'Fees &amp; Postage Table'!A:A, 'Fees &amp; Postage Table'!B:B, 0))</f>
        <v/>
      </c>
      <c r="G309">
        <f>IF(ISBLANK(A309), "", XLOOKUP(C309, 'Fees &amp; Postage Table'!A:A, 'Fees &amp; Postage Table'!D:D, 0))</f>
        <v/>
      </c>
      <c r="H309">
        <f>IF(ISBLANK(A309), "", B309 - E309 - F309 - G309)</f>
        <v/>
      </c>
      <c r="I309">
        <f>IF(ISBLANK(A309), "", D309 - XLOOKUP(A309, Inventory!A:A, Inventory!H:H, TODAY()))</f>
        <v/>
      </c>
    </row>
    <row r="310">
      <c r="E310">
        <f>IF(ISBLANK(A310), "", XLOOKUP(A310, Inventory!A:A, Inventory!E:E, 0))</f>
        <v/>
      </c>
      <c r="F310">
        <f>IF(ISBLANK(A310), "", (B310 * XLOOKUP(C310, 'Fees &amp; Postage Table'!A:A, 'Fees &amp; Postage Table'!C:C, 0)) + XLOOKUP(C310, 'Fees &amp; Postage Table'!A:A, 'Fees &amp; Postage Table'!B:B, 0))</f>
        <v/>
      </c>
      <c r="G310">
        <f>IF(ISBLANK(A310), "", XLOOKUP(C310, 'Fees &amp; Postage Table'!A:A, 'Fees &amp; Postage Table'!D:D, 0))</f>
        <v/>
      </c>
      <c r="H310">
        <f>IF(ISBLANK(A310), "", B310 - E310 - F310 - G310)</f>
        <v/>
      </c>
      <c r="I310">
        <f>IF(ISBLANK(A310), "", D310 - XLOOKUP(A310, Inventory!A:A, Inventory!H:H, TODAY()))</f>
        <v/>
      </c>
    </row>
    <row r="311">
      <c r="E311">
        <f>IF(ISBLANK(A311), "", XLOOKUP(A311, Inventory!A:A, Inventory!E:E, 0))</f>
        <v/>
      </c>
      <c r="F311">
        <f>IF(ISBLANK(A311), "", (B311 * XLOOKUP(C311, 'Fees &amp; Postage Table'!A:A, 'Fees &amp; Postage Table'!C:C, 0)) + XLOOKUP(C311, 'Fees &amp; Postage Table'!A:A, 'Fees &amp; Postage Table'!B:B, 0))</f>
        <v/>
      </c>
      <c r="G311">
        <f>IF(ISBLANK(A311), "", XLOOKUP(C311, 'Fees &amp; Postage Table'!A:A, 'Fees &amp; Postage Table'!D:D, 0))</f>
        <v/>
      </c>
      <c r="H311">
        <f>IF(ISBLANK(A311), "", B311 - E311 - F311 - G311)</f>
        <v/>
      </c>
      <c r="I311">
        <f>IF(ISBLANK(A311), "", D311 - XLOOKUP(A311, Inventory!A:A, Inventory!H:H, TODAY()))</f>
        <v/>
      </c>
    </row>
    <row r="312">
      <c r="E312">
        <f>IF(ISBLANK(A312), "", XLOOKUP(A312, Inventory!A:A, Inventory!E:E, 0))</f>
        <v/>
      </c>
      <c r="F312">
        <f>IF(ISBLANK(A312), "", (B312 * XLOOKUP(C312, 'Fees &amp; Postage Table'!A:A, 'Fees &amp; Postage Table'!C:C, 0)) + XLOOKUP(C312, 'Fees &amp; Postage Table'!A:A, 'Fees &amp; Postage Table'!B:B, 0))</f>
        <v/>
      </c>
      <c r="G312">
        <f>IF(ISBLANK(A312), "", XLOOKUP(C312, 'Fees &amp; Postage Table'!A:A, 'Fees &amp; Postage Table'!D:D, 0))</f>
        <v/>
      </c>
      <c r="H312">
        <f>IF(ISBLANK(A312), "", B312 - E312 - F312 - G312)</f>
        <v/>
      </c>
      <c r="I312">
        <f>IF(ISBLANK(A312), "", D312 - XLOOKUP(A312, Inventory!A:A, Inventory!H:H, TODAY()))</f>
        <v/>
      </c>
    </row>
    <row r="313">
      <c r="E313">
        <f>IF(ISBLANK(A313), "", XLOOKUP(A313, Inventory!A:A, Inventory!E:E, 0))</f>
        <v/>
      </c>
      <c r="F313">
        <f>IF(ISBLANK(A313), "", (B313 * XLOOKUP(C313, 'Fees &amp; Postage Table'!A:A, 'Fees &amp; Postage Table'!C:C, 0)) + XLOOKUP(C313, 'Fees &amp; Postage Table'!A:A, 'Fees &amp; Postage Table'!B:B, 0))</f>
        <v/>
      </c>
      <c r="G313">
        <f>IF(ISBLANK(A313), "", XLOOKUP(C313, 'Fees &amp; Postage Table'!A:A, 'Fees &amp; Postage Table'!D:D, 0))</f>
        <v/>
      </c>
      <c r="H313">
        <f>IF(ISBLANK(A313), "", B313 - E313 - F313 - G313)</f>
        <v/>
      </c>
      <c r="I313">
        <f>IF(ISBLANK(A313), "", D313 - XLOOKUP(A313, Inventory!A:A, Inventory!H:H, TODAY()))</f>
        <v/>
      </c>
    </row>
    <row r="314">
      <c r="E314">
        <f>IF(ISBLANK(A314), "", XLOOKUP(A314, Inventory!A:A, Inventory!E:E, 0))</f>
        <v/>
      </c>
      <c r="F314">
        <f>IF(ISBLANK(A314), "", (B314 * XLOOKUP(C314, 'Fees &amp; Postage Table'!A:A, 'Fees &amp; Postage Table'!C:C, 0)) + XLOOKUP(C314, 'Fees &amp; Postage Table'!A:A, 'Fees &amp; Postage Table'!B:B, 0))</f>
        <v/>
      </c>
      <c r="G314">
        <f>IF(ISBLANK(A314), "", XLOOKUP(C314, 'Fees &amp; Postage Table'!A:A, 'Fees &amp; Postage Table'!D:D, 0))</f>
        <v/>
      </c>
      <c r="H314">
        <f>IF(ISBLANK(A314), "", B314 - E314 - F314 - G314)</f>
        <v/>
      </c>
      <c r="I314">
        <f>IF(ISBLANK(A314), "", D314 - XLOOKUP(A314, Inventory!A:A, Inventory!H:H, TODAY()))</f>
        <v/>
      </c>
    </row>
    <row r="315">
      <c r="E315">
        <f>IF(ISBLANK(A315), "", XLOOKUP(A315, Inventory!A:A, Inventory!E:E, 0))</f>
        <v/>
      </c>
      <c r="F315">
        <f>IF(ISBLANK(A315), "", (B315 * XLOOKUP(C315, 'Fees &amp; Postage Table'!A:A, 'Fees &amp; Postage Table'!C:C, 0)) + XLOOKUP(C315, 'Fees &amp; Postage Table'!A:A, 'Fees &amp; Postage Table'!B:B, 0))</f>
        <v/>
      </c>
      <c r="G315">
        <f>IF(ISBLANK(A315), "", XLOOKUP(C315, 'Fees &amp; Postage Table'!A:A, 'Fees &amp; Postage Table'!D:D, 0))</f>
        <v/>
      </c>
      <c r="H315">
        <f>IF(ISBLANK(A315), "", B315 - E315 - F315 - G315)</f>
        <v/>
      </c>
      <c r="I315">
        <f>IF(ISBLANK(A315), "", D315 - XLOOKUP(A315, Inventory!A:A, Inventory!H:H, TODAY()))</f>
        <v/>
      </c>
    </row>
    <row r="316">
      <c r="E316">
        <f>IF(ISBLANK(A316), "", XLOOKUP(A316, Inventory!A:A, Inventory!E:E, 0))</f>
        <v/>
      </c>
      <c r="F316">
        <f>IF(ISBLANK(A316), "", (B316 * XLOOKUP(C316, 'Fees &amp; Postage Table'!A:A, 'Fees &amp; Postage Table'!C:C, 0)) + XLOOKUP(C316, 'Fees &amp; Postage Table'!A:A, 'Fees &amp; Postage Table'!B:B, 0))</f>
        <v/>
      </c>
      <c r="G316">
        <f>IF(ISBLANK(A316), "", XLOOKUP(C316, 'Fees &amp; Postage Table'!A:A, 'Fees &amp; Postage Table'!D:D, 0))</f>
        <v/>
      </c>
      <c r="H316">
        <f>IF(ISBLANK(A316), "", B316 - E316 - F316 - G316)</f>
        <v/>
      </c>
      <c r="I316">
        <f>IF(ISBLANK(A316), "", D316 - XLOOKUP(A316, Inventory!A:A, Inventory!H:H, TODAY()))</f>
        <v/>
      </c>
    </row>
    <row r="317">
      <c r="E317">
        <f>IF(ISBLANK(A317), "", XLOOKUP(A317, Inventory!A:A, Inventory!E:E, 0))</f>
        <v/>
      </c>
      <c r="F317">
        <f>IF(ISBLANK(A317), "", (B317 * XLOOKUP(C317, 'Fees &amp; Postage Table'!A:A, 'Fees &amp; Postage Table'!C:C, 0)) + XLOOKUP(C317, 'Fees &amp; Postage Table'!A:A, 'Fees &amp; Postage Table'!B:B, 0))</f>
        <v/>
      </c>
      <c r="G317">
        <f>IF(ISBLANK(A317), "", XLOOKUP(C317, 'Fees &amp; Postage Table'!A:A, 'Fees &amp; Postage Table'!D:D, 0))</f>
        <v/>
      </c>
      <c r="H317">
        <f>IF(ISBLANK(A317), "", B317 - E317 - F317 - G317)</f>
        <v/>
      </c>
      <c r="I317">
        <f>IF(ISBLANK(A317), "", D317 - XLOOKUP(A317, Inventory!A:A, Inventory!H:H, TODAY()))</f>
        <v/>
      </c>
    </row>
    <row r="318">
      <c r="E318">
        <f>IF(ISBLANK(A318), "", XLOOKUP(A318, Inventory!A:A, Inventory!E:E, 0))</f>
        <v/>
      </c>
      <c r="F318">
        <f>IF(ISBLANK(A318), "", (B318 * XLOOKUP(C318, 'Fees &amp; Postage Table'!A:A, 'Fees &amp; Postage Table'!C:C, 0)) + XLOOKUP(C318, 'Fees &amp; Postage Table'!A:A, 'Fees &amp; Postage Table'!B:B, 0))</f>
        <v/>
      </c>
      <c r="G318">
        <f>IF(ISBLANK(A318), "", XLOOKUP(C318, 'Fees &amp; Postage Table'!A:A, 'Fees &amp; Postage Table'!D:D, 0))</f>
        <v/>
      </c>
      <c r="H318">
        <f>IF(ISBLANK(A318), "", B318 - E318 - F318 - G318)</f>
        <v/>
      </c>
      <c r="I318">
        <f>IF(ISBLANK(A318), "", D318 - XLOOKUP(A318, Inventory!A:A, Inventory!H:H, TODAY()))</f>
        <v/>
      </c>
    </row>
    <row r="319">
      <c r="E319">
        <f>IF(ISBLANK(A319), "", XLOOKUP(A319, Inventory!A:A, Inventory!E:E, 0))</f>
        <v/>
      </c>
      <c r="F319">
        <f>IF(ISBLANK(A319), "", (B319 * XLOOKUP(C319, 'Fees &amp; Postage Table'!A:A, 'Fees &amp; Postage Table'!C:C, 0)) + XLOOKUP(C319, 'Fees &amp; Postage Table'!A:A, 'Fees &amp; Postage Table'!B:B, 0))</f>
        <v/>
      </c>
      <c r="G319">
        <f>IF(ISBLANK(A319), "", XLOOKUP(C319, 'Fees &amp; Postage Table'!A:A, 'Fees &amp; Postage Table'!D:D, 0))</f>
        <v/>
      </c>
      <c r="H319">
        <f>IF(ISBLANK(A319), "", B319 - E319 - F319 - G319)</f>
        <v/>
      </c>
      <c r="I319">
        <f>IF(ISBLANK(A319), "", D319 - XLOOKUP(A319, Inventory!A:A, Inventory!H:H, TODAY()))</f>
        <v/>
      </c>
    </row>
    <row r="320">
      <c r="E320">
        <f>IF(ISBLANK(A320), "", XLOOKUP(A320, Inventory!A:A, Inventory!E:E, 0))</f>
        <v/>
      </c>
      <c r="F320">
        <f>IF(ISBLANK(A320), "", (B320 * XLOOKUP(C320, 'Fees &amp; Postage Table'!A:A, 'Fees &amp; Postage Table'!C:C, 0)) + XLOOKUP(C320, 'Fees &amp; Postage Table'!A:A, 'Fees &amp; Postage Table'!B:B, 0))</f>
        <v/>
      </c>
      <c r="G320">
        <f>IF(ISBLANK(A320), "", XLOOKUP(C320, 'Fees &amp; Postage Table'!A:A, 'Fees &amp; Postage Table'!D:D, 0))</f>
        <v/>
      </c>
      <c r="H320">
        <f>IF(ISBLANK(A320), "", B320 - E320 - F320 - G320)</f>
        <v/>
      </c>
      <c r="I320">
        <f>IF(ISBLANK(A320), "", D320 - XLOOKUP(A320, Inventory!A:A, Inventory!H:H, TODAY()))</f>
        <v/>
      </c>
    </row>
    <row r="321">
      <c r="E321">
        <f>IF(ISBLANK(A321), "", XLOOKUP(A321, Inventory!A:A, Inventory!E:E, 0))</f>
        <v/>
      </c>
      <c r="F321">
        <f>IF(ISBLANK(A321), "", (B321 * XLOOKUP(C321, 'Fees &amp; Postage Table'!A:A, 'Fees &amp; Postage Table'!C:C, 0)) + XLOOKUP(C321, 'Fees &amp; Postage Table'!A:A, 'Fees &amp; Postage Table'!B:B, 0))</f>
        <v/>
      </c>
      <c r="G321">
        <f>IF(ISBLANK(A321), "", XLOOKUP(C321, 'Fees &amp; Postage Table'!A:A, 'Fees &amp; Postage Table'!D:D, 0))</f>
        <v/>
      </c>
      <c r="H321">
        <f>IF(ISBLANK(A321), "", B321 - E321 - F321 - G321)</f>
        <v/>
      </c>
      <c r="I321">
        <f>IF(ISBLANK(A321), "", D321 - XLOOKUP(A321, Inventory!A:A, Inventory!H:H, TODAY()))</f>
        <v/>
      </c>
    </row>
    <row r="322">
      <c r="E322">
        <f>IF(ISBLANK(A322), "", XLOOKUP(A322, Inventory!A:A, Inventory!E:E, 0))</f>
        <v/>
      </c>
      <c r="F322">
        <f>IF(ISBLANK(A322), "", (B322 * XLOOKUP(C322, 'Fees &amp; Postage Table'!A:A, 'Fees &amp; Postage Table'!C:C, 0)) + XLOOKUP(C322, 'Fees &amp; Postage Table'!A:A, 'Fees &amp; Postage Table'!B:B, 0))</f>
        <v/>
      </c>
      <c r="G322">
        <f>IF(ISBLANK(A322), "", XLOOKUP(C322, 'Fees &amp; Postage Table'!A:A, 'Fees &amp; Postage Table'!D:D, 0))</f>
        <v/>
      </c>
      <c r="H322">
        <f>IF(ISBLANK(A322), "", B322 - E322 - F322 - G322)</f>
        <v/>
      </c>
      <c r="I322">
        <f>IF(ISBLANK(A322), "", D322 - XLOOKUP(A322, Inventory!A:A, Inventory!H:H, TODAY()))</f>
        <v/>
      </c>
    </row>
    <row r="323">
      <c r="E323">
        <f>IF(ISBLANK(A323), "", XLOOKUP(A323, Inventory!A:A, Inventory!E:E, 0))</f>
        <v/>
      </c>
      <c r="F323">
        <f>IF(ISBLANK(A323), "", (B323 * XLOOKUP(C323, 'Fees &amp; Postage Table'!A:A, 'Fees &amp; Postage Table'!C:C, 0)) + XLOOKUP(C323, 'Fees &amp; Postage Table'!A:A, 'Fees &amp; Postage Table'!B:B, 0))</f>
        <v/>
      </c>
      <c r="G323">
        <f>IF(ISBLANK(A323), "", XLOOKUP(C323, 'Fees &amp; Postage Table'!A:A, 'Fees &amp; Postage Table'!D:D, 0))</f>
        <v/>
      </c>
      <c r="H323">
        <f>IF(ISBLANK(A323), "", B323 - E323 - F323 - G323)</f>
        <v/>
      </c>
      <c r="I323">
        <f>IF(ISBLANK(A323), "", D323 - XLOOKUP(A323, Inventory!A:A, Inventory!H:H, TODAY()))</f>
        <v/>
      </c>
    </row>
    <row r="324">
      <c r="E324">
        <f>IF(ISBLANK(A324), "", XLOOKUP(A324, Inventory!A:A, Inventory!E:E, 0))</f>
        <v/>
      </c>
      <c r="F324">
        <f>IF(ISBLANK(A324), "", (B324 * XLOOKUP(C324, 'Fees &amp; Postage Table'!A:A, 'Fees &amp; Postage Table'!C:C, 0)) + XLOOKUP(C324, 'Fees &amp; Postage Table'!A:A, 'Fees &amp; Postage Table'!B:B, 0))</f>
        <v/>
      </c>
      <c r="G324">
        <f>IF(ISBLANK(A324), "", XLOOKUP(C324, 'Fees &amp; Postage Table'!A:A, 'Fees &amp; Postage Table'!D:D, 0))</f>
        <v/>
      </c>
      <c r="H324">
        <f>IF(ISBLANK(A324), "", B324 - E324 - F324 - G324)</f>
        <v/>
      </c>
      <c r="I324">
        <f>IF(ISBLANK(A324), "", D324 - XLOOKUP(A324, Inventory!A:A, Inventory!H:H, TODAY()))</f>
        <v/>
      </c>
    </row>
    <row r="325">
      <c r="E325">
        <f>IF(ISBLANK(A325), "", XLOOKUP(A325, Inventory!A:A, Inventory!E:E, 0))</f>
        <v/>
      </c>
      <c r="F325">
        <f>IF(ISBLANK(A325), "", (B325 * XLOOKUP(C325, 'Fees &amp; Postage Table'!A:A, 'Fees &amp; Postage Table'!C:C, 0)) + XLOOKUP(C325, 'Fees &amp; Postage Table'!A:A, 'Fees &amp; Postage Table'!B:B, 0))</f>
        <v/>
      </c>
      <c r="G325">
        <f>IF(ISBLANK(A325), "", XLOOKUP(C325, 'Fees &amp; Postage Table'!A:A, 'Fees &amp; Postage Table'!D:D, 0))</f>
        <v/>
      </c>
      <c r="H325">
        <f>IF(ISBLANK(A325), "", B325 - E325 - F325 - G325)</f>
        <v/>
      </c>
      <c r="I325">
        <f>IF(ISBLANK(A325), "", D325 - XLOOKUP(A325, Inventory!A:A, Inventory!H:H, TODAY()))</f>
        <v/>
      </c>
    </row>
    <row r="326">
      <c r="E326">
        <f>IF(ISBLANK(A326), "", XLOOKUP(A326, Inventory!A:A, Inventory!E:E, 0))</f>
        <v/>
      </c>
      <c r="F326">
        <f>IF(ISBLANK(A326), "", (B326 * XLOOKUP(C326, 'Fees &amp; Postage Table'!A:A, 'Fees &amp; Postage Table'!C:C, 0)) + XLOOKUP(C326, 'Fees &amp; Postage Table'!A:A, 'Fees &amp; Postage Table'!B:B, 0))</f>
        <v/>
      </c>
      <c r="G326">
        <f>IF(ISBLANK(A326), "", XLOOKUP(C326, 'Fees &amp; Postage Table'!A:A, 'Fees &amp; Postage Table'!D:D, 0))</f>
        <v/>
      </c>
      <c r="H326">
        <f>IF(ISBLANK(A326), "", B326 - E326 - F326 - G326)</f>
        <v/>
      </c>
      <c r="I326">
        <f>IF(ISBLANK(A326), "", D326 - XLOOKUP(A326, Inventory!A:A, Inventory!H:H, TODAY()))</f>
        <v/>
      </c>
    </row>
    <row r="327">
      <c r="E327">
        <f>IF(ISBLANK(A327), "", XLOOKUP(A327, Inventory!A:A, Inventory!E:E, 0))</f>
        <v/>
      </c>
      <c r="F327">
        <f>IF(ISBLANK(A327), "", (B327 * XLOOKUP(C327, 'Fees &amp; Postage Table'!A:A, 'Fees &amp; Postage Table'!C:C, 0)) + XLOOKUP(C327, 'Fees &amp; Postage Table'!A:A, 'Fees &amp; Postage Table'!B:B, 0))</f>
        <v/>
      </c>
      <c r="G327">
        <f>IF(ISBLANK(A327), "", XLOOKUP(C327, 'Fees &amp; Postage Table'!A:A, 'Fees &amp; Postage Table'!D:D, 0))</f>
        <v/>
      </c>
      <c r="H327">
        <f>IF(ISBLANK(A327), "", B327 - E327 - F327 - G327)</f>
        <v/>
      </c>
      <c r="I327">
        <f>IF(ISBLANK(A327), "", D327 - XLOOKUP(A327, Inventory!A:A, Inventory!H:H, TODAY()))</f>
        <v/>
      </c>
    </row>
    <row r="328">
      <c r="E328">
        <f>IF(ISBLANK(A328), "", XLOOKUP(A328, Inventory!A:A, Inventory!E:E, 0))</f>
        <v/>
      </c>
      <c r="F328">
        <f>IF(ISBLANK(A328), "", (B328 * XLOOKUP(C328, 'Fees &amp; Postage Table'!A:A, 'Fees &amp; Postage Table'!C:C, 0)) + XLOOKUP(C328, 'Fees &amp; Postage Table'!A:A, 'Fees &amp; Postage Table'!B:B, 0))</f>
        <v/>
      </c>
      <c r="G328">
        <f>IF(ISBLANK(A328), "", XLOOKUP(C328, 'Fees &amp; Postage Table'!A:A, 'Fees &amp; Postage Table'!D:D, 0))</f>
        <v/>
      </c>
      <c r="H328">
        <f>IF(ISBLANK(A328), "", B328 - E328 - F328 - G328)</f>
        <v/>
      </c>
      <c r="I328">
        <f>IF(ISBLANK(A328), "", D328 - XLOOKUP(A328, Inventory!A:A, Inventory!H:H, TODAY()))</f>
        <v/>
      </c>
    </row>
    <row r="329">
      <c r="E329">
        <f>IF(ISBLANK(A329), "", XLOOKUP(A329, Inventory!A:A, Inventory!E:E, 0))</f>
        <v/>
      </c>
      <c r="F329">
        <f>IF(ISBLANK(A329), "", (B329 * XLOOKUP(C329, 'Fees &amp; Postage Table'!A:A, 'Fees &amp; Postage Table'!C:C, 0)) + XLOOKUP(C329, 'Fees &amp; Postage Table'!A:A, 'Fees &amp; Postage Table'!B:B, 0))</f>
        <v/>
      </c>
      <c r="G329">
        <f>IF(ISBLANK(A329), "", XLOOKUP(C329, 'Fees &amp; Postage Table'!A:A, 'Fees &amp; Postage Table'!D:D, 0))</f>
        <v/>
      </c>
      <c r="H329">
        <f>IF(ISBLANK(A329), "", B329 - E329 - F329 - G329)</f>
        <v/>
      </c>
      <c r="I329">
        <f>IF(ISBLANK(A329), "", D329 - XLOOKUP(A329, Inventory!A:A, Inventory!H:H, TODAY()))</f>
        <v/>
      </c>
    </row>
    <row r="330">
      <c r="E330">
        <f>IF(ISBLANK(A330), "", XLOOKUP(A330, Inventory!A:A, Inventory!E:E, 0))</f>
        <v/>
      </c>
      <c r="F330">
        <f>IF(ISBLANK(A330), "", (B330 * XLOOKUP(C330, 'Fees &amp; Postage Table'!A:A, 'Fees &amp; Postage Table'!C:C, 0)) + XLOOKUP(C330, 'Fees &amp; Postage Table'!A:A, 'Fees &amp; Postage Table'!B:B, 0))</f>
        <v/>
      </c>
      <c r="G330">
        <f>IF(ISBLANK(A330), "", XLOOKUP(C330, 'Fees &amp; Postage Table'!A:A, 'Fees &amp; Postage Table'!D:D, 0))</f>
        <v/>
      </c>
      <c r="H330">
        <f>IF(ISBLANK(A330), "", B330 - E330 - F330 - G330)</f>
        <v/>
      </c>
      <c r="I330">
        <f>IF(ISBLANK(A330), "", D330 - XLOOKUP(A330, Inventory!A:A, Inventory!H:H, TODAY()))</f>
        <v/>
      </c>
    </row>
    <row r="331">
      <c r="E331">
        <f>IF(ISBLANK(A331), "", XLOOKUP(A331, Inventory!A:A, Inventory!E:E, 0))</f>
        <v/>
      </c>
      <c r="F331">
        <f>IF(ISBLANK(A331), "", (B331 * XLOOKUP(C331, 'Fees &amp; Postage Table'!A:A, 'Fees &amp; Postage Table'!C:C, 0)) + XLOOKUP(C331, 'Fees &amp; Postage Table'!A:A, 'Fees &amp; Postage Table'!B:B, 0))</f>
        <v/>
      </c>
      <c r="G331">
        <f>IF(ISBLANK(A331), "", XLOOKUP(C331, 'Fees &amp; Postage Table'!A:A, 'Fees &amp; Postage Table'!D:D, 0))</f>
        <v/>
      </c>
      <c r="H331">
        <f>IF(ISBLANK(A331), "", B331 - E331 - F331 - G331)</f>
        <v/>
      </c>
      <c r="I331">
        <f>IF(ISBLANK(A331), "", D331 - XLOOKUP(A331, Inventory!A:A, Inventory!H:H, TODAY()))</f>
        <v/>
      </c>
    </row>
    <row r="332">
      <c r="E332">
        <f>IF(ISBLANK(A332), "", XLOOKUP(A332, Inventory!A:A, Inventory!E:E, 0))</f>
        <v/>
      </c>
      <c r="F332">
        <f>IF(ISBLANK(A332), "", (B332 * XLOOKUP(C332, 'Fees &amp; Postage Table'!A:A, 'Fees &amp; Postage Table'!C:C, 0)) + XLOOKUP(C332, 'Fees &amp; Postage Table'!A:A, 'Fees &amp; Postage Table'!B:B, 0))</f>
        <v/>
      </c>
      <c r="G332">
        <f>IF(ISBLANK(A332), "", XLOOKUP(C332, 'Fees &amp; Postage Table'!A:A, 'Fees &amp; Postage Table'!D:D, 0))</f>
        <v/>
      </c>
      <c r="H332">
        <f>IF(ISBLANK(A332), "", B332 - E332 - F332 - G332)</f>
        <v/>
      </c>
      <c r="I332">
        <f>IF(ISBLANK(A332), "", D332 - XLOOKUP(A332, Inventory!A:A, Inventory!H:H, TODAY()))</f>
        <v/>
      </c>
    </row>
    <row r="333">
      <c r="E333">
        <f>IF(ISBLANK(A333), "", XLOOKUP(A333, Inventory!A:A, Inventory!E:E, 0))</f>
        <v/>
      </c>
      <c r="F333">
        <f>IF(ISBLANK(A333), "", (B333 * XLOOKUP(C333, 'Fees &amp; Postage Table'!A:A, 'Fees &amp; Postage Table'!C:C, 0)) + XLOOKUP(C333, 'Fees &amp; Postage Table'!A:A, 'Fees &amp; Postage Table'!B:B, 0))</f>
        <v/>
      </c>
      <c r="G333">
        <f>IF(ISBLANK(A333), "", XLOOKUP(C333, 'Fees &amp; Postage Table'!A:A, 'Fees &amp; Postage Table'!D:D, 0))</f>
        <v/>
      </c>
      <c r="H333">
        <f>IF(ISBLANK(A333), "", B333 - E333 - F333 - G333)</f>
        <v/>
      </c>
      <c r="I333">
        <f>IF(ISBLANK(A333), "", D333 - XLOOKUP(A333, Inventory!A:A, Inventory!H:H, TODAY()))</f>
        <v/>
      </c>
    </row>
    <row r="334">
      <c r="E334">
        <f>IF(ISBLANK(A334), "", XLOOKUP(A334, Inventory!A:A, Inventory!E:E, 0))</f>
        <v/>
      </c>
      <c r="F334">
        <f>IF(ISBLANK(A334), "", (B334 * XLOOKUP(C334, 'Fees &amp; Postage Table'!A:A, 'Fees &amp; Postage Table'!C:C, 0)) + XLOOKUP(C334, 'Fees &amp; Postage Table'!A:A, 'Fees &amp; Postage Table'!B:B, 0))</f>
        <v/>
      </c>
      <c r="G334">
        <f>IF(ISBLANK(A334), "", XLOOKUP(C334, 'Fees &amp; Postage Table'!A:A, 'Fees &amp; Postage Table'!D:D, 0))</f>
        <v/>
      </c>
      <c r="H334">
        <f>IF(ISBLANK(A334), "", B334 - E334 - F334 - G334)</f>
        <v/>
      </c>
      <c r="I334">
        <f>IF(ISBLANK(A334), "", D334 - XLOOKUP(A334, Inventory!A:A, Inventory!H:H, TODAY()))</f>
        <v/>
      </c>
    </row>
    <row r="335">
      <c r="E335">
        <f>IF(ISBLANK(A335), "", XLOOKUP(A335, Inventory!A:A, Inventory!E:E, 0))</f>
        <v/>
      </c>
      <c r="F335">
        <f>IF(ISBLANK(A335), "", (B335 * XLOOKUP(C335, 'Fees &amp; Postage Table'!A:A, 'Fees &amp; Postage Table'!C:C, 0)) + XLOOKUP(C335, 'Fees &amp; Postage Table'!A:A, 'Fees &amp; Postage Table'!B:B, 0))</f>
        <v/>
      </c>
      <c r="G335">
        <f>IF(ISBLANK(A335), "", XLOOKUP(C335, 'Fees &amp; Postage Table'!A:A, 'Fees &amp; Postage Table'!D:D, 0))</f>
        <v/>
      </c>
      <c r="H335">
        <f>IF(ISBLANK(A335), "", B335 - E335 - F335 - G335)</f>
        <v/>
      </c>
      <c r="I335">
        <f>IF(ISBLANK(A335), "", D335 - XLOOKUP(A335, Inventory!A:A, Inventory!H:H, TODAY()))</f>
        <v/>
      </c>
    </row>
    <row r="336">
      <c r="E336">
        <f>IF(ISBLANK(A336), "", XLOOKUP(A336, Inventory!A:A, Inventory!E:E, 0))</f>
        <v/>
      </c>
      <c r="F336">
        <f>IF(ISBLANK(A336), "", (B336 * XLOOKUP(C336, 'Fees &amp; Postage Table'!A:A, 'Fees &amp; Postage Table'!C:C, 0)) + XLOOKUP(C336, 'Fees &amp; Postage Table'!A:A, 'Fees &amp; Postage Table'!B:B, 0))</f>
        <v/>
      </c>
      <c r="G336">
        <f>IF(ISBLANK(A336), "", XLOOKUP(C336, 'Fees &amp; Postage Table'!A:A, 'Fees &amp; Postage Table'!D:D, 0))</f>
        <v/>
      </c>
      <c r="H336">
        <f>IF(ISBLANK(A336), "", B336 - E336 - F336 - G336)</f>
        <v/>
      </c>
      <c r="I336">
        <f>IF(ISBLANK(A336), "", D336 - XLOOKUP(A336, Inventory!A:A, Inventory!H:H, TODAY()))</f>
        <v/>
      </c>
    </row>
    <row r="337">
      <c r="E337">
        <f>IF(ISBLANK(A337), "", XLOOKUP(A337, Inventory!A:A, Inventory!E:E, 0))</f>
        <v/>
      </c>
      <c r="F337">
        <f>IF(ISBLANK(A337), "", (B337 * XLOOKUP(C337, 'Fees &amp; Postage Table'!A:A, 'Fees &amp; Postage Table'!C:C, 0)) + XLOOKUP(C337, 'Fees &amp; Postage Table'!A:A, 'Fees &amp; Postage Table'!B:B, 0))</f>
        <v/>
      </c>
      <c r="G337">
        <f>IF(ISBLANK(A337), "", XLOOKUP(C337, 'Fees &amp; Postage Table'!A:A, 'Fees &amp; Postage Table'!D:D, 0))</f>
        <v/>
      </c>
      <c r="H337">
        <f>IF(ISBLANK(A337), "", B337 - E337 - F337 - G337)</f>
        <v/>
      </c>
      <c r="I337">
        <f>IF(ISBLANK(A337), "", D337 - XLOOKUP(A337, Inventory!A:A, Inventory!H:H, TODAY()))</f>
        <v/>
      </c>
    </row>
    <row r="338">
      <c r="E338">
        <f>IF(ISBLANK(A338), "", XLOOKUP(A338, Inventory!A:A, Inventory!E:E, 0))</f>
        <v/>
      </c>
      <c r="F338">
        <f>IF(ISBLANK(A338), "", (B338 * XLOOKUP(C338, 'Fees &amp; Postage Table'!A:A, 'Fees &amp; Postage Table'!C:C, 0)) + XLOOKUP(C338, 'Fees &amp; Postage Table'!A:A, 'Fees &amp; Postage Table'!B:B, 0))</f>
        <v/>
      </c>
      <c r="G338">
        <f>IF(ISBLANK(A338), "", XLOOKUP(C338, 'Fees &amp; Postage Table'!A:A, 'Fees &amp; Postage Table'!D:D, 0))</f>
        <v/>
      </c>
      <c r="H338">
        <f>IF(ISBLANK(A338), "", B338 - E338 - F338 - G338)</f>
        <v/>
      </c>
      <c r="I338">
        <f>IF(ISBLANK(A338), "", D338 - XLOOKUP(A338, Inventory!A:A, Inventory!H:H, TODAY()))</f>
        <v/>
      </c>
    </row>
    <row r="339">
      <c r="E339">
        <f>IF(ISBLANK(A339), "", XLOOKUP(A339, Inventory!A:A, Inventory!E:E, 0))</f>
        <v/>
      </c>
      <c r="F339">
        <f>IF(ISBLANK(A339), "", (B339 * XLOOKUP(C339, 'Fees &amp; Postage Table'!A:A, 'Fees &amp; Postage Table'!C:C, 0)) + XLOOKUP(C339, 'Fees &amp; Postage Table'!A:A, 'Fees &amp; Postage Table'!B:B, 0))</f>
        <v/>
      </c>
      <c r="G339">
        <f>IF(ISBLANK(A339), "", XLOOKUP(C339, 'Fees &amp; Postage Table'!A:A, 'Fees &amp; Postage Table'!D:D, 0))</f>
        <v/>
      </c>
      <c r="H339">
        <f>IF(ISBLANK(A339), "", B339 - E339 - F339 - G339)</f>
        <v/>
      </c>
      <c r="I339">
        <f>IF(ISBLANK(A339), "", D339 - XLOOKUP(A339, Inventory!A:A, Inventory!H:H, TODAY()))</f>
        <v/>
      </c>
    </row>
    <row r="340">
      <c r="E340">
        <f>IF(ISBLANK(A340), "", XLOOKUP(A340, Inventory!A:A, Inventory!E:E, 0))</f>
        <v/>
      </c>
      <c r="F340">
        <f>IF(ISBLANK(A340), "", (B340 * XLOOKUP(C340, 'Fees &amp; Postage Table'!A:A, 'Fees &amp; Postage Table'!C:C, 0)) + XLOOKUP(C340, 'Fees &amp; Postage Table'!A:A, 'Fees &amp; Postage Table'!B:B, 0))</f>
        <v/>
      </c>
      <c r="G340">
        <f>IF(ISBLANK(A340), "", XLOOKUP(C340, 'Fees &amp; Postage Table'!A:A, 'Fees &amp; Postage Table'!D:D, 0))</f>
        <v/>
      </c>
      <c r="H340">
        <f>IF(ISBLANK(A340), "", B340 - E340 - F340 - G340)</f>
        <v/>
      </c>
      <c r="I340">
        <f>IF(ISBLANK(A340), "", D340 - XLOOKUP(A340, Inventory!A:A, Inventory!H:H, TODAY()))</f>
        <v/>
      </c>
    </row>
    <row r="341">
      <c r="E341">
        <f>IF(ISBLANK(A341), "", XLOOKUP(A341, Inventory!A:A, Inventory!E:E, 0))</f>
        <v/>
      </c>
      <c r="F341">
        <f>IF(ISBLANK(A341), "", (B341 * XLOOKUP(C341, 'Fees &amp; Postage Table'!A:A, 'Fees &amp; Postage Table'!C:C, 0)) + XLOOKUP(C341, 'Fees &amp; Postage Table'!A:A, 'Fees &amp; Postage Table'!B:B, 0))</f>
        <v/>
      </c>
      <c r="G341">
        <f>IF(ISBLANK(A341), "", XLOOKUP(C341, 'Fees &amp; Postage Table'!A:A, 'Fees &amp; Postage Table'!D:D, 0))</f>
        <v/>
      </c>
      <c r="H341">
        <f>IF(ISBLANK(A341), "", B341 - E341 - F341 - G341)</f>
        <v/>
      </c>
      <c r="I341">
        <f>IF(ISBLANK(A341), "", D341 - XLOOKUP(A341, Inventory!A:A, Inventory!H:H, TODAY()))</f>
        <v/>
      </c>
    </row>
    <row r="342">
      <c r="E342">
        <f>IF(ISBLANK(A342), "", XLOOKUP(A342, Inventory!A:A, Inventory!E:E, 0))</f>
        <v/>
      </c>
      <c r="F342">
        <f>IF(ISBLANK(A342), "", (B342 * XLOOKUP(C342, 'Fees &amp; Postage Table'!A:A, 'Fees &amp; Postage Table'!C:C, 0)) + XLOOKUP(C342, 'Fees &amp; Postage Table'!A:A, 'Fees &amp; Postage Table'!B:B, 0))</f>
        <v/>
      </c>
      <c r="G342">
        <f>IF(ISBLANK(A342), "", XLOOKUP(C342, 'Fees &amp; Postage Table'!A:A, 'Fees &amp; Postage Table'!D:D, 0))</f>
        <v/>
      </c>
      <c r="H342">
        <f>IF(ISBLANK(A342), "", B342 - E342 - F342 - G342)</f>
        <v/>
      </c>
      <c r="I342">
        <f>IF(ISBLANK(A342), "", D342 - XLOOKUP(A342, Inventory!A:A, Inventory!H:H, TODAY()))</f>
        <v/>
      </c>
    </row>
    <row r="343">
      <c r="E343">
        <f>IF(ISBLANK(A343), "", XLOOKUP(A343, Inventory!A:A, Inventory!E:E, 0))</f>
        <v/>
      </c>
      <c r="F343">
        <f>IF(ISBLANK(A343), "", (B343 * XLOOKUP(C343, 'Fees &amp; Postage Table'!A:A, 'Fees &amp; Postage Table'!C:C, 0)) + XLOOKUP(C343, 'Fees &amp; Postage Table'!A:A, 'Fees &amp; Postage Table'!B:B, 0))</f>
        <v/>
      </c>
      <c r="G343">
        <f>IF(ISBLANK(A343), "", XLOOKUP(C343, 'Fees &amp; Postage Table'!A:A, 'Fees &amp; Postage Table'!D:D, 0))</f>
        <v/>
      </c>
      <c r="H343">
        <f>IF(ISBLANK(A343), "", B343 - E343 - F343 - G343)</f>
        <v/>
      </c>
      <c r="I343">
        <f>IF(ISBLANK(A343), "", D343 - XLOOKUP(A343, Inventory!A:A, Inventory!H:H, TODAY()))</f>
        <v/>
      </c>
    </row>
    <row r="344">
      <c r="E344">
        <f>IF(ISBLANK(A344), "", XLOOKUP(A344, Inventory!A:A, Inventory!E:E, 0))</f>
        <v/>
      </c>
      <c r="F344">
        <f>IF(ISBLANK(A344), "", (B344 * XLOOKUP(C344, 'Fees &amp; Postage Table'!A:A, 'Fees &amp; Postage Table'!C:C, 0)) + XLOOKUP(C344, 'Fees &amp; Postage Table'!A:A, 'Fees &amp; Postage Table'!B:B, 0))</f>
        <v/>
      </c>
      <c r="G344">
        <f>IF(ISBLANK(A344), "", XLOOKUP(C344, 'Fees &amp; Postage Table'!A:A, 'Fees &amp; Postage Table'!D:D, 0))</f>
        <v/>
      </c>
      <c r="H344">
        <f>IF(ISBLANK(A344), "", B344 - E344 - F344 - G344)</f>
        <v/>
      </c>
      <c r="I344">
        <f>IF(ISBLANK(A344), "", D344 - XLOOKUP(A344, Inventory!A:A, Inventory!H:H, TODAY()))</f>
        <v/>
      </c>
    </row>
    <row r="345">
      <c r="E345">
        <f>IF(ISBLANK(A345), "", XLOOKUP(A345, Inventory!A:A, Inventory!E:E, 0))</f>
        <v/>
      </c>
      <c r="F345">
        <f>IF(ISBLANK(A345), "", (B345 * XLOOKUP(C345, 'Fees &amp; Postage Table'!A:A, 'Fees &amp; Postage Table'!C:C, 0)) + XLOOKUP(C345, 'Fees &amp; Postage Table'!A:A, 'Fees &amp; Postage Table'!B:B, 0))</f>
        <v/>
      </c>
      <c r="G345">
        <f>IF(ISBLANK(A345), "", XLOOKUP(C345, 'Fees &amp; Postage Table'!A:A, 'Fees &amp; Postage Table'!D:D, 0))</f>
        <v/>
      </c>
      <c r="H345">
        <f>IF(ISBLANK(A345), "", B345 - E345 - F345 - G345)</f>
        <v/>
      </c>
      <c r="I345">
        <f>IF(ISBLANK(A345), "", D345 - XLOOKUP(A345, Inventory!A:A, Inventory!H:H, TODAY()))</f>
        <v/>
      </c>
    </row>
    <row r="346">
      <c r="E346">
        <f>IF(ISBLANK(A346), "", XLOOKUP(A346, Inventory!A:A, Inventory!E:E, 0))</f>
        <v/>
      </c>
      <c r="F346">
        <f>IF(ISBLANK(A346), "", (B346 * XLOOKUP(C346, 'Fees &amp; Postage Table'!A:A, 'Fees &amp; Postage Table'!C:C, 0)) + XLOOKUP(C346, 'Fees &amp; Postage Table'!A:A, 'Fees &amp; Postage Table'!B:B, 0))</f>
        <v/>
      </c>
      <c r="G346">
        <f>IF(ISBLANK(A346), "", XLOOKUP(C346, 'Fees &amp; Postage Table'!A:A, 'Fees &amp; Postage Table'!D:D, 0))</f>
        <v/>
      </c>
      <c r="H346">
        <f>IF(ISBLANK(A346), "", B346 - E346 - F346 - G346)</f>
        <v/>
      </c>
      <c r="I346">
        <f>IF(ISBLANK(A346), "", D346 - XLOOKUP(A346, Inventory!A:A, Inventory!H:H, TODAY()))</f>
        <v/>
      </c>
    </row>
    <row r="347">
      <c r="E347">
        <f>IF(ISBLANK(A347), "", XLOOKUP(A347, Inventory!A:A, Inventory!E:E, 0))</f>
        <v/>
      </c>
      <c r="F347">
        <f>IF(ISBLANK(A347), "", (B347 * XLOOKUP(C347, 'Fees &amp; Postage Table'!A:A, 'Fees &amp; Postage Table'!C:C, 0)) + XLOOKUP(C347, 'Fees &amp; Postage Table'!A:A, 'Fees &amp; Postage Table'!B:B, 0))</f>
        <v/>
      </c>
      <c r="G347">
        <f>IF(ISBLANK(A347), "", XLOOKUP(C347, 'Fees &amp; Postage Table'!A:A, 'Fees &amp; Postage Table'!D:D, 0))</f>
        <v/>
      </c>
      <c r="H347">
        <f>IF(ISBLANK(A347), "", B347 - E347 - F347 - G347)</f>
        <v/>
      </c>
      <c r="I347">
        <f>IF(ISBLANK(A347), "", D347 - XLOOKUP(A347, Inventory!A:A, Inventory!H:H, TODAY()))</f>
        <v/>
      </c>
    </row>
    <row r="348">
      <c r="E348">
        <f>IF(ISBLANK(A348), "", XLOOKUP(A348, Inventory!A:A, Inventory!E:E, 0))</f>
        <v/>
      </c>
      <c r="F348">
        <f>IF(ISBLANK(A348), "", (B348 * XLOOKUP(C348, 'Fees &amp; Postage Table'!A:A, 'Fees &amp; Postage Table'!C:C, 0)) + XLOOKUP(C348, 'Fees &amp; Postage Table'!A:A, 'Fees &amp; Postage Table'!B:B, 0))</f>
        <v/>
      </c>
      <c r="G348">
        <f>IF(ISBLANK(A348), "", XLOOKUP(C348, 'Fees &amp; Postage Table'!A:A, 'Fees &amp; Postage Table'!D:D, 0))</f>
        <v/>
      </c>
      <c r="H348">
        <f>IF(ISBLANK(A348), "", B348 - E348 - F348 - G348)</f>
        <v/>
      </c>
      <c r="I348">
        <f>IF(ISBLANK(A348), "", D348 - XLOOKUP(A348, Inventory!A:A, Inventory!H:H, TODAY()))</f>
        <v/>
      </c>
    </row>
    <row r="349">
      <c r="E349">
        <f>IF(ISBLANK(A349), "", XLOOKUP(A349, Inventory!A:A, Inventory!E:E, 0))</f>
        <v/>
      </c>
      <c r="F349">
        <f>IF(ISBLANK(A349), "", (B349 * XLOOKUP(C349, 'Fees &amp; Postage Table'!A:A, 'Fees &amp; Postage Table'!C:C, 0)) + XLOOKUP(C349, 'Fees &amp; Postage Table'!A:A, 'Fees &amp; Postage Table'!B:B, 0))</f>
        <v/>
      </c>
      <c r="G349">
        <f>IF(ISBLANK(A349), "", XLOOKUP(C349, 'Fees &amp; Postage Table'!A:A, 'Fees &amp; Postage Table'!D:D, 0))</f>
        <v/>
      </c>
      <c r="H349">
        <f>IF(ISBLANK(A349), "", B349 - E349 - F349 - G349)</f>
        <v/>
      </c>
      <c r="I349">
        <f>IF(ISBLANK(A349), "", D349 - XLOOKUP(A349, Inventory!A:A, Inventory!H:H, TODAY()))</f>
        <v/>
      </c>
    </row>
    <row r="350">
      <c r="E350">
        <f>IF(ISBLANK(A350), "", XLOOKUP(A350, Inventory!A:A, Inventory!E:E, 0))</f>
        <v/>
      </c>
      <c r="F350">
        <f>IF(ISBLANK(A350), "", (B350 * XLOOKUP(C350, 'Fees &amp; Postage Table'!A:A, 'Fees &amp; Postage Table'!C:C, 0)) + XLOOKUP(C350, 'Fees &amp; Postage Table'!A:A, 'Fees &amp; Postage Table'!B:B, 0))</f>
        <v/>
      </c>
      <c r="G350">
        <f>IF(ISBLANK(A350), "", XLOOKUP(C350, 'Fees &amp; Postage Table'!A:A, 'Fees &amp; Postage Table'!D:D, 0))</f>
        <v/>
      </c>
      <c r="H350">
        <f>IF(ISBLANK(A350), "", B350 - E350 - F350 - G350)</f>
        <v/>
      </c>
      <c r="I350">
        <f>IF(ISBLANK(A350), "", D350 - XLOOKUP(A350, Inventory!A:A, Inventory!H:H, TODAY()))</f>
        <v/>
      </c>
    </row>
    <row r="351">
      <c r="E351">
        <f>IF(ISBLANK(A351), "", XLOOKUP(A351, Inventory!A:A, Inventory!E:E, 0))</f>
        <v/>
      </c>
      <c r="F351">
        <f>IF(ISBLANK(A351), "", (B351 * XLOOKUP(C351, 'Fees &amp; Postage Table'!A:A, 'Fees &amp; Postage Table'!C:C, 0)) + XLOOKUP(C351, 'Fees &amp; Postage Table'!A:A, 'Fees &amp; Postage Table'!B:B, 0))</f>
        <v/>
      </c>
      <c r="G351">
        <f>IF(ISBLANK(A351), "", XLOOKUP(C351, 'Fees &amp; Postage Table'!A:A, 'Fees &amp; Postage Table'!D:D, 0))</f>
        <v/>
      </c>
      <c r="H351">
        <f>IF(ISBLANK(A351), "", B351 - E351 - F351 - G351)</f>
        <v/>
      </c>
      <c r="I351">
        <f>IF(ISBLANK(A351), "", D351 - XLOOKUP(A351, Inventory!A:A, Inventory!H:H, TODAY()))</f>
        <v/>
      </c>
    </row>
    <row r="352">
      <c r="E352">
        <f>IF(ISBLANK(A352), "", XLOOKUP(A352, Inventory!A:A, Inventory!E:E, 0))</f>
        <v/>
      </c>
      <c r="F352">
        <f>IF(ISBLANK(A352), "", (B352 * XLOOKUP(C352, 'Fees &amp; Postage Table'!A:A, 'Fees &amp; Postage Table'!C:C, 0)) + XLOOKUP(C352, 'Fees &amp; Postage Table'!A:A, 'Fees &amp; Postage Table'!B:B, 0))</f>
        <v/>
      </c>
      <c r="G352">
        <f>IF(ISBLANK(A352), "", XLOOKUP(C352, 'Fees &amp; Postage Table'!A:A, 'Fees &amp; Postage Table'!D:D, 0))</f>
        <v/>
      </c>
      <c r="H352">
        <f>IF(ISBLANK(A352), "", B352 - E352 - F352 - G352)</f>
        <v/>
      </c>
      <c r="I352">
        <f>IF(ISBLANK(A352), "", D352 - XLOOKUP(A352, Inventory!A:A, Inventory!H:H, TODAY()))</f>
        <v/>
      </c>
    </row>
    <row r="353">
      <c r="E353">
        <f>IF(ISBLANK(A353), "", XLOOKUP(A353, Inventory!A:A, Inventory!E:E, 0))</f>
        <v/>
      </c>
      <c r="F353">
        <f>IF(ISBLANK(A353), "", (B353 * XLOOKUP(C353, 'Fees &amp; Postage Table'!A:A, 'Fees &amp; Postage Table'!C:C, 0)) + XLOOKUP(C353, 'Fees &amp; Postage Table'!A:A, 'Fees &amp; Postage Table'!B:B, 0))</f>
        <v/>
      </c>
      <c r="G353">
        <f>IF(ISBLANK(A353), "", XLOOKUP(C353, 'Fees &amp; Postage Table'!A:A, 'Fees &amp; Postage Table'!D:D, 0))</f>
        <v/>
      </c>
      <c r="H353">
        <f>IF(ISBLANK(A353), "", B353 - E353 - F353 - G353)</f>
        <v/>
      </c>
      <c r="I353">
        <f>IF(ISBLANK(A353), "", D353 - XLOOKUP(A353, Inventory!A:A, Inventory!H:H, TODAY()))</f>
        <v/>
      </c>
    </row>
    <row r="354">
      <c r="E354">
        <f>IF(ISBLANK(A354), "", XLOOKUP(A354, Inventory!A:A, Inventory!E:E, 0))</f>
        <v/>
      </c>
      <c r="F354">
        <f>IF(ISBLANK(A354), "", (B354 * XLOOKUP(C354, 'Fees &amp; Postage Table'!A:A, 'Fees &amp; Postage Table'!C:C, 0)) + XLOOKUP(C354, 'Fees &amp; Postage Table'!A:A, 'Fees &amp; Postage Table'!B:B, 0))</f>
        <v/>
      </c>
      <c r="G354">
        <f>IF(ISBLANK(A354), "", XLOOKUP(C354, 'Fees &amp; Postage Table'!A:A, 'Fees &amp; Postage Table'!D:D, 0))</f>
        <v/>
      </c>
      <c r="H354">
        <f>IF(ISBLANK(A354), "", B354 - E354 - F354 - G354)</f>
        <v/>
      </c>
      <c r="I354">
        <f>IF(ISBLANK(A354), "", D354 - XLOOKUP(A354, Inventory!A:A, Inventory!H:H, TODAY()))</f>
        <v/>
      </c>
    </row>
    <row r="355">
      <c r="E355">
        <f>IF(ISBLANK(A355), "", XLOOKUP(A355, Inventory!A:A, Inventory!E:E, 0))</f>
        <v/>
      </c>
      <c r="F355">
        <f>IF(ISBLANK(A355), "", (B355 * XLOOKUP(C355, 'Fees &amp; Postage Table'!A:A, 'Fees &amp; Postage Table'!C:C, 0)) + XLOOKUP(C355, 'Fees &amp; Postage Table'!A:A, 'Fees &amp; Postage Table'!B:B, 0))</f>
        <v/>
      </c>
      <c r="G355">
        <f>IF(ISBLANK(A355), "", XLOOKUP(C355, 'Fees &amp; Postage Table'!A:A, 'Fees &amp; Postage Table'!D:D, 0))</f>
        <v/>
      </c>
      <c r="H355">
        <f>IF(ISBLANK(A355), "", B355 - E355 - F355 - G355)</f>
        <v/>
      </c>
      <c r="I355">
        <f>IF(ISBLANK(A355), "", D355 - XLOOKUP(A355, Inventory!A:A, Inventory!H:H, TODAY()))</f>
        <v/>
      </c>
    </row>
    <row r="356">
      <c r="E356">
        <f>IF(ISBLANK(A356), "", XLOOKUP(A356, Inventory!A:A, Inventory!E:E, 0))</f>
        <v/>
      </c>
      <c r="F356">
        <f>IF(ISBLANK(A356), "", (B356 * XLOOKUP(C356, 'Fees &amp; Postage Table'!A:A, 'Fees &amp; Postage Table'!C:C, 0)) + XLOOKUP(C356, 'Fees &amp; Postage Table'!A:A, 'Fees &amp; Postage Table'!B:B, 0))</f>
        <v/>
      </c>
      <c r="G356">
        <f>IF(ISBLANK(A356), "", XLOOKUP(C356, 'Fees &amp; Postage Table'!A:A, 'Fees &amp; Postage Table'!D:D, 0))</f>
        <v/>
      </c>
      <c r="H356">
        <f>IF(ISBLANK(A356), "", B356 - E356 - F356 - G356)</f>
        <v/>
      </c>
      <c r="I356">
        <f>IF(ISBLANK(A356), "", D356 - XLOOKUP(A356, Inventory!A:A, Inventory!H:H, TODAY()))</f>
        <v/>
      </c>
    </row>
    <row r="357">
      <c r="E357">
        <f>IF(ISBLANK(A357), "", XLOOKUP(A357, Inventory!A:A, Inventory!E:E, 0))</f>
        <v/>
      </c>
      <c r="F357">
        <f>IF(ISBLANK(A357), "", (B357 * XLOOKUP(C357, 'Fees &amp; Postage Table'!A:A, 'Fees &amp; Postage Table'!C:C, 0)) + XLOOKUP(C357, 'Fees &amp; Postage Table'!A:A, 'Fees &amp; Postage Table'!B:B, 0))</f>
        <v/>
      </c>
      <c r="G357">
        <f>IF(ISBLANK(A357), "", XLOOKUP(C357, 'Fees &amp; Postage Table'!A:A, 'Fees &amp; Postage Table'!D:D, 0))</f>
        <v/>
      </c>
      <c r="H357">
        <f>IF(ISBLANK(A357), "", B357 - E357 - F357 - G357)</f>
        <v/>
      </c>
      <c r="I357">
        <f>IF(ISBLANK(A357), "", D357 - XLOOKUP(A357, Inventory!A:A, Inventory!H:H, TODAY()))</f>
        <v/>
      </c>
    </row>
    <row r="358">
      <c r="E358">
        <f>IF(ISBLANK(A358), "", XLOOKUP(A358, Inventory!A:A, Inventory!E:E, 0))</f>
        <v/>
      </c>
      <c r="F358">
        <f>IF(ISBLANK(A358), "", (B358 * XLOOKUP(C358, 'Fees &amp; Postage Table'!A:A, 'Fees &amp; Postage Table'!C:C, 0)) + XLOOKUP(C358, 'Fees &amp; Postage Table'!A:A, 'Fees &amp; Postage Table'!B:B, 0))</f>
        <v/>
      </c>
      <c r="G358">
        <f>IF(ISBLANK(A358), "", XLOOKUP(C358, 'Fees &amp; Postage Table'!A:A, 'Fees &amp; Postage Table'!D:D, 0))</f>
        <v/>
      </c>
      <c r="H358">
        <f>IF(ISBLANK(A358), "", B358 - E358 - F358 - G358)</f>
        <v/>
      </c>
      <c r="I358">
        <f>IF(ISBLANK(A358), "", D358 - XLOOKUP(A358, Inventory!A:A, Inventory!H:H, TODAY()))</f>
        <v/>
      </c>
    </row>
    <row r="359">
      <c r="E359">
        <f>IF(ISBLANK(A359), "", XLOOKUP(A359, Inventory!A:A, Inventory!E:E, 0))</f>
        <v/>
      </c>
      <c r="F359">
        <f>IF(ISBLANK(A359), "", (B359 * XLOOKUP(C359, 'Fees &amp; Postage Table'!A:A, 'Fees &amp; Postage Table'!C:C, 0)) + XLOOKUP(C359, 'Fees &amp; Postage Table'!A:A, 'Fees &amp; Postage Table'!B:B, 0))</f>
        <v/>
      </c>
      <c r="G359">
        <f>IF(ISBLANK(A359), "", XLOOKUP(C359, 'Fees &amp; Postage Table'!A:A, 'Fees &amp; Postage Table'!D:D, 0))</f>
        <v/>
      </c>
      <c r="H359">
        <f>IF(ISBLANK(A359), "", B359 - E359 - F359 - G359)</f>
        <v/>
      </c>
      <c r="I359">
        <f>IF(ISBLANK(A359), "", D359 - XLOOKUP(A359, Inventory!A:A, Inventory!H:H, TODAY()))</f>
        <v/>
      </c>
    </row>
    <row r="360">
      <c r="E360">
        <f>IF(ISBLANK(A360), "", XLOOKUP(A360, Inventory!A:A, Inventory!E:E, 0))</f>
        <v/>
      </c>
      <c r="F360">
        <f>IF(ISBLANK(A360), "", (B360 * XLOOKUP(C360, 'Fees &amp; Postage Table'!A:A, 'Fees &amp; Postage Table'!C:C, 0)) + XLOOKUP(C360, 'Fees &amp; Postage Table'!A:A, 'Fees &amp; Postage Table'!B:B, 0))</f>
        <v/>
      </c>
      <c r="G360">
        <f>IF(ISBLANK(A360), "", XLOOKUP(C360, 'Fees &amp; Postage Table'!A:A, 'Fees &amp; Postage Table'!D:D, 0))</f>
        <v/>
      </c>
      <c r="H360">
        <f>IF(ISBLANK(A360), "", B360 - E360 - F360 - G360)</f>
        <v/>
      </c>
      <c r="I360">
        <f>IF(ISBLANK(A360), "", D360 - XLOOKUP(A360, Inventory!A:A, Inventory!H:H, TODAY()))</f>
        <v/>
      </c>
    </row>
    <row r="361">
      <c r="E361">
        <f>IF(ISBLANK(A361), "", XLOOKUP(A361, Inventory!A:A, Inventory!E:E, 0))</f>
        <v/>
      </c>
      <c r="F361">
        <f>IF(ISBLANK(A361), "", (B361 * XLOOKUP(C361, 'Fees &amp; Postage Table'!A:A, 'Fees &amp; Postage Table'!C:C, 0)) + XLOOKUP(C361, 'Fees &amp; Postage Table'!A:A, 'Fees &amp; Postage Table'!B:B, 0))</f>
        <v/>
      </c>
      <c r="G361">
        <f>IF(ISBLANK(A361), "", XLOOKUP(C361, 'Fees &amp; Postage Table'!A:A, 'Fees &amp; Postage Table'!D:D, 0))</f>
        <v/>
      </c>
      <c r="H361">
        <f>IF(ISBLANK(A361), "", B361 - E361 - F361 - G361)</f>
        <v/>
      </c>
      <c r="I361">
        <f>IF(ISBLANK(A361), "", D361 - XLOOKUP(A361, Inventory!A:A, Inventory!H:H, TODAY()))</f>
        <v/>
      </c>
    </row>
    <row r="362">
      <c r="E362">
        <f>IF(ISBLANK(A362), "", XLOOKUP(A362, Inventory!A:A, Inventory!E:E, 0))</f>
        <v/>
      </c>
      <c r="F362">
        <f>IF(ISBLANK(A362), "", (B362 * XLOOKUP(C362, 'Fees &amp; Postage Table'!A:A, 'Fees &amp; Postage Table'!C:C, 0)) + XLOOKUP(C362, 'Fees &amp; Postage Table'!A:A, 'Fees &amp; Postage Table'!B:B, 0))</f>
        <v/>
      </c>
      <c r="G362">
        <f>IF(ISBLANK(A362), "", XLOOKUP(C362, 'Fees &amp; Postage Table'!A:A, 'Fees &amp; Postage Table'!D:D, 0))</f>
        <v/>
      </c>
      <c r="H362">
        <f>IF(ISBLANK(A362), "", B362 - E362 - F362 - G362)</f>
        <v/>
      </c>
      <c r="I362">
        <f>IF(ISBLANK(A362), "", D362 - XLOOKUP(A362, Inventory!A:A, Inventory!H:H, TODAY()))</f>
        <v/>
      </c>
    </row>
    <row r="363">
      <c r="E363">
        <f>IF(ISBLANK(A363), "", XLOOKUP(A363, Inventory!A:A, Inventory!E:E, 0))</f>
        <v/>
      </c>
      <c r="F363">
        <f>IF(ISBLANK(A363), "", (B363 * XLOOKUP(C363, 'Fees &amp; Postage Table'!A:A, 'Fees &amp; Postage Table'!C:C, 0)) + XLOOKUP(C363, 'Fees &amp; Postage Table'!A:A, 'Fees &amp; Postage Table'!B:B, 0))</f>
        <v/>
      </c>
      <c r="G363">
        <f>IF(ISBLANK(A363), "", XLOOKUP(C363, 'Fees &amp; Postage Table'!A:A, 'Fees &amp; Postage Table'!D:D, 0))</f>
        <v/>
      </c>
      <c r="H363">
        <f>IF(ISBLANK(A363), "", B363 - E363 - F363 - G363)</f>
        <v/>
      </c>
      <c r="I363">
        <f>IF(ISBLANK(A363), "", D363 - XLOOKUP(A363, Inventory!A:A, Inventory!H:H, TODAY()))</f>
        <v/>
      </c>
    </row>
    <row r="364">
      <c r="E364">
        <f>IF(ISBLANK(A364), "", XLOOKUP(A364, Inventory!A:A, Inventory!E:E, 0))</f>
        <v/>
      </c>
      <c r="F364">
        <f>IF(ISBLANK(A364), "", (B364 * XLOOKUP(C364, 'Fees &amp; Postage Table'!A:A, 'Fees &amp; Postage Table'!C:C, 0)) + XLOOKUP(C364, 'Fees &amp; Postage Table'!A:A, 'Fees &amp; Postage Table'!B:B, 0))</f>
        <v/>
      </c>
      <c r="G364">
        <f>IF(ISBLANK(A364), "", XLOOKUP(C364, 'Fees &amp; Postage Table'!A:A, 'Fees &amp; Postage Table'!D:D, 0))</f>
        <v/>
      </c>
      <c r="H364">
        <f>IF(ISBLANK(A364), "", B364 - E364 - F364 - G364)</f>
        <v/>
      </c>
      <c r="I364">
        <f>IF(ISBLANK(A364), "", D364 - XLOOKUP(A364, Inventory!A:A, Inventory!H:H, TODAY()))</f>
        <v/>
      </c>
    </row>
    <row r="365">
      <c r="E365">
        <f>IF(ISBLANK(A365), "", XLOOKUP(A365, Inventory!A:A, Inventory!E:E, 0))</f>
        <v/>
      </c>
      <c r="F365">
        <f>IF(ISBLANK(A365), "", (B365 * XLOOKUP(C365, 'Fees &amp; Postage Table'!A:A, 'Fees &amp; Postage Table'!C:C, 0)) + XLOOKUP(C365, 'Fees &amp; Postage Table'!A:A, 'Fees &amp; Postage Table'!B:B, 0))</f>
        <v/>
      </c>
      <c r="G365">
        <f>IF(ISBLANK(A365), "", XLOOKUP(C365, 'Fees &amp; Postage Table'!A:A, 'Fees &amp; Postage Table'!D:D, 0))</f>
        <v/>
      </c>
      <c r="H365">
        <f>IF(ISBLANK(A365), "", B365 - E365 - F365 - G365)</f>
        <v/>
      </c>
      <c r="I365">
        <f>IF(ISBLANK(A365), "", D365 - XLOOKUP(A365, Inventory!A:A, Inventory!H:H, TODAY()))</f>
        <v/>
      </c>
    </row>
    <row r="366">
      <c r="E366">
        <f>IF(ISBLANK(A366), "", XLOOKUP(A366, Inventory!A:A, Inventory!E:E, 0))</f>
        <v/>
      </c>
      <c r="F366">
        <f>IF(ISBLANK(A366), "", (B366 * XLOOKUP(C366, 'Fees &amp; Postage Table'!A:A, 'Fees &amp; Postage Table'!C:C, 0)) + XLOOKUP(C366, 'Fees &amp; Postage Table'!A:A, 'Fees &amp; Postage Table'!B:B, 0))</f>
        <v/>
      </c>
      <c r="G366">
        <f>IF(ISBLANK(A366), "", XLOOKUP(C366, 'Fees &amp; Postage Table'!A:A, 'Fees &amp; Postage Table'!D:D, 0))</f>
        <v/>
      </c>
      <c r="H366">
        <f>IF(ISBLANK(A366), "", B366 - E366 - F366 - G366)</f>
        <v/>
      </c>
      <c r="I366">
        <f>IF(ISBLANK(A366), "", D366 - XLOOKUP(A366, Inventory!A:A, Inventory!H:H, TODAY()))</f>
        <v/>
      </c>
    </row>
    <row r="367">
      <c r="E367">
        <f>IF(ISBLANK(A367), "", XLOOKUP(A367, Inventory!A:A, Inventory!E:E, 0))</f>
        <v/>
      </c>
      <c r="F367">
        <f>IF(ISBLANK(A367), "", (B367 * XLOOKUP(C367, 'Fees &amp; Postage Table'!A:A, 'Fees &amp; Postage Table'!C:C, 0)) + XLOOKUP(C367, 'Fees &amp; Postage Table'!A:A, 'Fees &amp; Postage Table'!B:B, 0))</f>
        <v/>
      </c>
      <c r="G367">
        <f>IF(ISBLANK(A367), "", XLOOKUP(C367, 'Fees &amp; Postage Table'!A:A, 'Fees &amp; Postage Table'!D:D, 0))</f>
        <v/>
      </c>
      <c r="H367">
        <f>IF(ISBLANK(A367), "", B367 - E367 - F367 - G367)</f>
        <v/>
      </c>
      <c r="I367">
        <f>IF(ISBLANK(A367), "", D367 - XLOOKUP(A367, Inventory!A:A, Inventory!H:H, TODAY()))</f>
        <v/>
      </c>
    </row>
    <row r="368">
      <c r="E368">
        <f>IF(ISBLANK(A368), "", XLOOKUP(A368, Inventory!A:A, Inventory!E:E, 0))</f>
        <v/>
      </c>
      <c r="F368">
        <f>IF(ISBLANK(A368), "", (B368 * XLOOKUP(C368, 'Fees &amp; Postage Table'!A:A, 'Fees &amp; Postage Table'!C:C, 0)) + XLOOKUP(C368, 'Fees &amp; Postage Table'!A:A, 'Fees &amp; Postage Table'!B:B, 0))</f>
        <v/>
      </c>
      <c r="G368">
        <f>IF(ISBLANK(A368), "", XLOOKUP(C368, 'Fees &amp; Postage Table'!A:A, 'Fees &amp; Postage Table'!D:D, 0))</f>
        <v/>
      </c>
      <c r="H368">
        <f>IF(ISBLANK(A368), "", B368 - E368 - F368 - G368)</f>
        <v/>
      </c>
      <c r="I368">
        <f>IF(ISBLANK(A368), "", D368 - XLOOKUP(A368, Inventory!A:A, Inventory!H:H, TODAY()))</f>
        <v/>
      </c>
    </row>
    <row r="369">
      <c r="E369">
        <f>IF(ISBLANK(A369), "", XLOOKUP(A369, Inventory!A:A, Inventory!E:E, 0))</f>
        <v/>
      </c>
      <c r="F369">
        <f>IF(ISBLANK(A369), "", (B369 * XLOOKUP(C369, 'Fees &amp; Postage Table'!A:A, 'Fees &amp; Postage Table'!C:C, 0)) + XLOOKUP(C369, 'Fees &amp; Postage Table'!A:A, 'Fees &amp; Postage Table'!B:B, 0))</f>
        <v/>
      </c>
      <c r="G369">
        <f>IF(ISBLANK(A369), "", XLOOKUP(C369, 'Fees &amp; Postage Table'!A:A, 'Fees &amp; Postage Table'!D:D, 0))</f>
        <v/>
      </c>
      <c r="H369">
        <f>IF(ISBLANK(A369), "", B369 - E369 - F369 - G369)</f>
        <v/>
      </c>
      <c r="I369">
        <f>IF(ISBLANK(A369), "", D369 - XLOOKUP(A369, Inventory!A:A, Inventory!H:H, TODAY()))</f>
        <v/>
      </c>
    </row>
    <row r="370">
      <c r="E370">
        <f>IF(ISBLANK(A370), "", XLOOKUP(A370, Inventory!A:A, Inventory!E:E, 0))</f>
        <v/>
      </c>
      <c r="F370">
        <f>IF(ISBLANK(A370), "", (B370 * XLOOKUP(C370, 'Fees &amp; Postage Table'!A:A, 'Fees &amp; Postage Table'!C:C, 0)) + XLOOKUP(C370, 'Fees &amp; Postage Table'!A:A, 'Fees &amp; Postage Table'!B:B, 0))</f>
        <v/>
      </c>
      <c r="G370">
        <f>IF(ISBLANK(A370), "", XLOOKUP(C370, 'Fees &amp; Postage Table'!A:A, 'Fees &amp; Postage Table'!D:D, 0))</f>
        <v/>
      </c>
      <c r="H370">
        <f>IF(ISBLANK(A370), "", B370 - E370 - F370 - G370)</f>
        <v/>
      </c>
      <c r="I370">
        <f>IF(ISBLANK(A370), "", D370 - XLOOKUP(A370, Inventory!A:A, Inventory!H:H, TODAY()))</f>
        <v/>
      </c>
    </row>
    <row r="371">
      <c r="E371">
        <f>IF(ISBLANK(A371), "", XLOOKUP(A371, Inventory!A:A, Inventory!E:E, 0))</f>
        <v/>
      </c>
      <c r="F371">
        <f>IF(ISBLANK(A371), "", (B371 * XLOOKUP(C371, 'Fees &amp; Postage Table'!A:A, 'Fees &amp; Postage Table'!C:C, 0)) + XLOOKUP(C371, 'Fees &amp; Postage Table'!A:A, 'Fees &amp; Postage Table'!B:B, 0))</f>
        <v/>
      </c>
      <c r="G371">
        <f>IF(ISBLANK(A371), "", XLOOKUP(C371, 'Fees &amp; Postage Table'!A:A, 'Fees &amp; Postage Table'!D:D, 0))</f>
        <v/>
      </c>
      <c r="H371">
        <f>IF(ISBLANK(A371), "", B371 - E371 - F371 - G371)</f>
        <v/>
      </c>
      <c r="I371">
        <f>IF(ISBLANK(A371), "", D371 - XLOOKUP(A371, Inventory!A:A, Inventory!H:H, TODAY()))</f>
        <v/>
      </c>
    </row>
    <row r="372">
      <c r="E372">
        <f>IF(ISBLANK(A372), "", XLOOKUP(A372, Inventory!A:A, Inventory!E:E, 0))</f>
        <v/>
      </c>
      <c r="F372">
        <f>IF(ISBLANK(A372), "", (B372 * XLOOKUP(C372, 'Fees &amp; Postage Table'!A:A, 'Fees &amp; Postage Table'!C:C, 0)) + XLOOKUP(C372, 'Fees &amp; Postage Table'!A:A, 'Fees &amp; Postage Table'!B:B, 0))</f>
        <v/>
      </c>
      <c r="G372">
        <f>IF(ISBLANK(A372), "", XLOOKUP(C372, 'Fees &amp; Postage Table'!A:A, 'Fees &amp; Postage Table'!D:D, 0))</f>
        <v/>
      </c>
      <c r="H372">
        <f>IF(ISBLANK(A372), "", B372 - E372 - F372 - G372)</f>
        <v/>
      </c>
      <c r="I372">
        <f>IF(ISBLANK(A372), "", D372 - XLOOKUP(A372, Inventory!A:A, Inventory!H:H, TODAY()))</f>
        <v/>
      </c>
    </row>
    <row r="373">
      <c r="E373">
        <f>IF(ISBLANK(A373), "", XLOOKUP(A373, Inventory!A:A, Inventory!E:E, 0))</f>
        <v/>
      </c>
      <c r="F373">
        <f>IF(ISBLANK(A373), "", (B373 * XLOOKUP(C373, 'Fees &amp; Postage Table'!A:A, 'Fees &amp; Postage Table'!C:C, 0)) + XLOOKUP(C373, 'Fees &amp; Postage Table'!A:A, 'Fees &amp; Postage Table'!B:B, 0))</f>
        <v/>
      </c>
      <c r="G373">
        <f>IF(ISBLANK(A373), "", XLOOKUP(C373, 'Fees &amp; Postage Table'!A:A, 'Fees &amp; Postage Table'!D:D, 0))</f>
        <v/>
      </c>
      <c r="H373">
        <f>IF(ISBLANK(A373), "", B373 - E373 - F373 - G373)</f>
        <v/>
      </c>
      <c r="I373">
        <f>IF(ISBLANK(A373), "", D373 - XLOOKUP(A373, Inventory!A:A, Inventory!H:H, TODAY()))</f>
        <v/>
      </c>
    </row>
    <row r="374">
      <c r="E374">
        <f>IF(ISBLANK(A374), "", XLOOKUP(A374, Inventory!A:A, Inventory!E:E, 0))</f>
        <v/>
      </c>
      <c r="F374">
        <f>IF(ISBLANK(A374), "", (B374 * XLOOKUP(C374, 'Fees &amp; Postage Table'!A:A, 'Fees &amp; Postage Table'!C:C, 0)) + XLOOKUP(C374, 'Fees &amp; Postage Table'!A:A, 'Fees &amp; Postage Table'!B:B, 0))</f>
        <v/>
      </c>
      <c r="G374">
        <f>IF(ISBLANK(A374), "", XLOOKUP(C374, 'Fees &amp; Postage Table'!A:A, 'Fees &amp; Postage Table'!D:D, 0))</f>
        <v/>
      </c>
      <c r="H374">
        <f>IF(ISBLANK(A374), "", B374 - E374 - F374 - G374)</f>
        <v/>
      </c>
      <c r="I374">
        <f>IF(ISBLANK(A374), "", D374 - XLOOKUP(A374, Inventory!A:A, Inventory!H:H, TODAY()))</f>
        <v/>
      </c>
    </row>
    <row r="375">
      <c r="E375">
        <f>IF(ISBLANK(A375), "", XLOOKUP(A375, Inventory!A:A, Inventory!E:E, 0))</f>
        <v/>
      </c>
      <c r="F375">
        <f>IF(ISBLANK(A375), "", (B375 * XLOOKUP(C375, 'Fees &amp; Postage Table'!A:A, 'Fees &amp; Postage Table'!C:C, 0)) + XLOOKUP(C375, 'Fees &amp; Postage Table'!A:A, 'Fees &amp; Postage Table'!B:B, 0))</f>
        <v/>
      </c>
      <c r="G375">
        <f>IF(ISBLANK(A375), "", XLOOKUP(C375, 'Fees &amp; Postage Table'!A:A, 'Fees &amp; Postage Table'!D:D, 0))</f>
        <v/>
      </c>
      <c r="H375">
        <f>IF(ISBLANK(A375), "", B375 - E375 - F375 - G375)</f>
        <v/>
      </c>
      <c r="I375">
        <f>IF(ISBLANK(A375), "", D375 - XLOOKUP(A375, Inventory!A:A, Inventory!H:H, TODAY()))</f>
        <v/>
      </c>
    </row>
    <row r="376">
      <c r="E376">
        <f>IF(ISBLANK(A376), "", XLOOKUP(A376, Inventory!A:A, Inventory!E:E, 0))</f>
        <v/>
      </c>
      <c r="F376">
        <f>IF(ISBLANK(A376), "", (B376 * XLOOKUP(C376, 'Fees &amp; Postage Table'!A:A, 'Fees &amp; Postage Table'!C:C, 0)) + XLOOKUP(C376, 'Fees &amp; Postage Table'!A:A, 'Fees &amp; Postage Table'!B:B, 0))</f>
        <v/>
      </c>
      <c r="G376">
        <f>IF(ISBLANK(A376), "", XLOOKUP(C376, 'Fees &amp; Postage Table'!A:A, 'Fees &amp; Postage Table'!D:D, 0))</f>
        <v/>
      </c>
      <c r="H376">
        <f>IF(ISBLANK(A376), "", B376 - E376 - F376 - G376)</f>
        <v/>
      </c>
      <c r="I376">
        <f>IF(ISBLANK(A376), "", D376 - XLOOKUP(A376, Inventory!A:A, Inventory!H:H, TODAY()))</f>
        <v/>
      </c>
    </row>
    <row r="377">
      <c r="E377">
        <f>IF(ISBLANK(A377), "", XLOOKUP(A377, Inventory!A:A, Inventory!E:E, 0))</f>
        <v/>
      </c>
      <c r="F377">
        <f>IF(ISBLANK(A377), "", (B377 * XLOOKUP(C377, 'Fees &amp; Postage Table'!A:A, 'Fees &amp; Postage Table'!C:C, 0)) + XLOOKUP(C377, 'Fees &amp; Postage Table'!A:A, 'Fees &amp; Postage Table'!B:B, 0))</f>
        <v/>
      </c>
      <c r="G377">
        <f>IF(ISBLANK(A377), "", XLOOKUP(C377, 'Fees &amp; Postage Table'!A:A, 'Fees &amp; Postage Table'!D:D, 0))</f>
        <v/>
      </c>
      <c r="H377">
        <f>IF(ISBLANK(A377), "", B377 - E377 - F377 - G377)</f>
        <v/>
      </c>
      <c r="I377">
        <f>IF(ISBLANK(A377), "", D377 - XLOOKUP(A377, Inventory!A:A, Inventory!H:H, TODAY()))</f>
        <v/>
      </c>
    </row>
    <row r="378">
      <c r="E378">
        <f>IF(ISBLANK(A378), "", XLOOKUP(A378, Inventory!A:A, Inventory!E:E, 0))</f>
        <v/>
      </c>
      <c r="F378">
        <f>IF(ISBLANK(A378), "", (B378 * XLOOKUP(C378, 'Fees &amp; Postage Table'!A:A, 'Fees &amp; Postage Table'!C:C, 0)) + XLOOKUP(C378, 'Fees &amp; Postage Table'!A:A, 'Fees &amp; Postage Table'!B:B, 0))</f>
        <v/>
      </c>
      <c r="G378">
        <f>IF(ISBLANK(A378), "", XLOOKUP(C378, 'Fees &amp; Postage Table'!A:A, 'Fees &amp; Postage Table'!D:D, 0))</f>
        <v/>
      </c>
      <c r="H378">
        <f>IF(ISBLANK(A378), "", B378 - E378 - F378 - G378)</f>
        <v/>
      </c>
      <c r="I378">
        <f>IF(ISBLANK(A378), "", D378 - XLOOKUP(A378, Inventory!A:A, Inventory!H:H, TODAY()))</f>
        <v/>
      </c>
    </row>
    <row r="379">
      <c r="E379">
        <f>IF(ISBLANK(A379), "", XLOOKUP(A379, Inventory!A:A, Inventory!E:E, 0))</f>
        <v/>
      </c>
      <c r="F379">
        <f>IF(ISBLANK(A379), "", (B379 * XLOOKUP(C379, 'Fees &amp; Postage Table'!A:A, 'Fees &amp; Postage Table'!C:C, 0)) + XLOOKUP(C379, 'Fees &amp; Postage Table'!A:A, 'Fees &amp; Postage Table'!B:B, 0))</f>
        <v/>
      </c>
      <c r="G379">
        <f>IF(ISBLANK(A379), "", XLOOKUP(C379, 'Fees &amp; Postage Table'!A:A, 'Fees &amp; Postage Table'!D:D, 0))</f>
        <v/>
      </c>
      <c r="H379">
        <f>IF(ISBLANK(A379), "", B379 - E379 - F379 - G379)</f>
        <v/>
      </c>
      <c r="I379">
        <f>IF(ISBLANK(A379), "", D379 - XLOOKUP(A379, Inventory!A:A, Inventory!H:H, TODAY()))</f>
        <v/>
      </c>
    </row>
    <row r="380">
      <c r="E380">
        <f>IF(ISBLANK(A380), "", XLOOKUP(A380, Inventory!A:A, Inventory!E:E, 0))</f>
        <v/>
      </c>
      <c r="F380">
        <f>IF(ISBLANK(A380), "", (B380 * XLOOKUP(C380, 'Fees &amp; Postage Table'!A:A, 'Fees &amp; Postage Table'!C:C, 0)) + XLOOKUP(C380, 'Fees &amp; Postage Table'!A:A, 'Fees &amp; Postage Table'!B:B, 0))</f>
        <v/>
      </c>
      <c r="G380">
        <f>IF(ISBLANK(A380), "", XLOOKUP(C380, 'Fees &amp; Postage Table'!A:A, 'Fees &amp; Postage Table'!D:D, 0))</f>
        <v/>
      </c>
      <c r="H380">
        <f>IF(ISBLANK(A380), "", B380 - E380 - F380 - G380)</f>
        <v/>
      </c>
      <c r="I380">
        <f>IF(ISBLANK(A380), "", D380 - XLOOKUP(A380, Inventory!A:A, Inventory!H:H, TODAY()))</f>
        <v/>
      </c>
    </row>
    <row r="381">
      <c r="E381">
        <f>IF(ISBLANK(A381), "", XLOOKUP(A381, Inventory!A:A, Inventory!E:E, 0))</f>
        <v/>
      </c>
      <c r="F381">
        <f>IF(ISBLANK(A381), "", (B381 * XLOOKUP(C381, 'Fees &amp; Postage Table'!A:A, 'Fees &amp; Postage Table'!C:C, 0)) + XLOOKUP(C381, 'Fees &amp; Postage Table'!A:A, 'Fees &amp; Postage Table'!B:B, 0))</f>
        <v/>
      </c>
      <c r="G381">
        <f>IF(ISBLANK(A381), "", XLOOKUP(C381, 'Fees &amp; Postage Table'!A:A, 'Fees &amp; Postage Table'!D:D, 0))</f>
        <v/>
      </c>
      <c r="H381">
        <f>IF(ISBLANK(A381), "", B381 - E381 - F381 - G381)</f>
        <v/>
      </c>
      <c r="I381">
        <f>IF(ISBLANK(A381), "", D381 - XLOOKUP(A381, Inventory!A:A, Inventory!H:H, TODAY()))</f>
        <v/>
      </c>
    </row>
    <row r="382">
      <c r="E382">
        <f>IF(ISBLANK(A382), "", XLOOKUP(A382, Inventory!A:A, Inventory!E:E, 0))</f>
        <v/>
      </c>
      <c r="F382">
        <f>IF(ISBLANK(A382), "", (B382 * XLOOKUP(C382, 'Fees &amp; Postage Table'!A:A, 'Fees &amp; Postage Table'!C:C, 0)) + XLOOKUP(C382, 'Fees &amp; Postage Table'!A:A, 'Fees &amp; Postage Table'!B:B, 0))</f>
        <v/>
      </c>
      <c r="G382">
        <f>IF(ISBLANK(A382), "", XLOOKUP(C382, 'Fees &amp; Postage Table'!A:A, 'Fees &amp; Postage Table'!D:D, 0))</f>
        <v/>
      </c>
      <c r="H382">
        <f>IF(ISBLANK(A382), "", B382 - E382 - F382 - G382)</f>
        <v/>
      </c>
      <c r="I382">
        <f>IF(ISBLANK(A382), "", D382 - XLOOKUP(A382, Inventory!A:A, Inventory!H:H, TODAY()))</f>
        <v/>
      </c>
    </row>
    <row r="383">
      <c r="E383">
        <f>IF(ISBLANK(A383), "", XLOOKUP(A383, Inventory!A:A, Inventory!E:E, 0))</f>
        <v/>
      </c>
      <c r="F383">
        <f>IF(ISBLANK(A383), "", (B383 * XLOOKUP(C383, 'Fees &amp; Postage Table'!A:A, 'Fees &amp; Postage Table'!C:C, 0)) + XLOOKUP(C383, 'Fees &amp; Postage Table'!A:A, 'Fees &amp; Postage Table'!B:B, 0))</f>
        <v/>
      </c>
      <c r="G383">
        <f>IF(ISBLANK(A383), "", XLOOKUP(C383, 'Fees &amp; Postage Table'!A:A, 'Fees &amp; Postage Table'!D:D, 0))</f>
        <v/>
      </c>
      <c r="H383">
        <f>IF(ISBLANK(A383), "", B383 - E383 - F383 - G383)</f>
        <v/>
      </c>
      <c r="I383">
        <f>IF(ISBLANK(A383), "", D383 - XLOOKUP(A383, Inventory!A:A, Inventory!H:H, TODAY()))</f>
        <v/>
      </c>
    </row>
    <row r="384">
      <c r="E384">
        <f>IF(ISBLANK(A384), "", XLOOKUP(A384, Inventory!A:A, Inventory!E:E, 0))</f>
        <v/>
      </c>
      <c r="F384">
        <f>IF(ISBLANK(A384), "", (B384 * XLOOKUP(C384, 'Fees &amp; Postage Table'!A:A, 'Fees &amp; Postage Table'!C:C, 0)) + XLOOKUP(C384, 'Fees &amp; Postage Table'!A:A, 'Fees &amp; Postage Table'!B:B, 0))</f>
        <v/>
      </c>
      <c r="G384">
        <f>IF(ISBLANK(A384), "", XLOOKUP(C384, 'Fees &amp; Postage Table'!A:A, 'Fees &amp; Postage Table'!D:D, 0))</f>
        <v/>
      </c>
      <c r="H384">
        <f>IF(ISBLANK(A384), "", B384 - E384 - F384 - G384)</f>
        <v/>
      </c>
      <c r="I384">
        <f>IF(ISBLANK(A384), "", D384 - XLOOKUP(A384, Inventory!A:A, Inventory!H:H, TODAY()))</f>
        <v/>
      </c>
    </row>
    <row r="385">
      <c r="E385">
        <f>IF(ISBLANK(A385), "", XLOOKUP(A385, Inventory!A:A, Inventory!E:E, 0))</f>
        <v/>
      </c>
      <c r="F385">
        <f>IF(ISBLANK(A385), "", (B385 * XLOOKUP(C385, 'Fees &amp; Postage Table'!A:A, 'Fees &amp; Postage Table'!C:C, 0)) + XLOOKUP(C385, 'Fees &amp; Postage Table'!A:A, 'Fees &amp; Postage Table'!B:B, 0))</f>
        <v/>
      </c>
      <c r="G385">
        <f>IF(ISBLANK(A385), "", XLOOKUP(C385, 'Fees &amp; Postage Table'!A:A, 'Fees &amp; Postage Table'!D:D, 0))</f>
        <v/>
      </c>
      <c r="H385">
        <f>IF(ISBLANK(A385), "", B385 - E385 - F385 - G385)</f>
        <v/>
      </c>
      <c r="I385">
        <f>IF(ISBLANK(A385), "", D385 - XLOOKUP(A385, Inventory!A:A, Inventory!H:H, TODAY()))</f>
        <v/>
      </c>
    </row>
    <row r="386">
      <c r="E386">
        <f>IF(ISBLANK(A386), "", XLOOKUP(A386, Inventory!A:A, Inventory!E:E, 0))</f>
        <v/>
      </c>
      <c r="F386">
        <f>IF(ISBLANK(A386), "", (B386 * XLOOKUP(C386, 'Fees &amp; Postage Table'!A:A, 'Fees &amp; Postage Table'!C:C, 0)) + XLOOKUP(C386, 'Fees &amp; Postage Table'!A:A, 'Fees &amp; Postage Table'!B:B, 0))</f>
        <v/>
      </c>
      <c r="G386">
        <f>IF(ISBLANK(A386), "", XLOOKUP(C386, 'Fees &amp; Postage Table'!A:A, 'Fees &amp; Postage Table'!D:D, 0))</f>
        <v/>
      </c>
      <c r="H386">
        <f>IF(ISBLANK(A386), "", B386 - E386 - F386 - G386)</f>
        <v/>
      </c>
      <c r="I386">
        <f>IF(ISBLANK(A386), "", D386 - XLOOKUP(A386, Inventory!A:A, Inventory!H:H, TODAY()))</f>
        <v/>
      </c>
    </row>
    <row r="387">
      <c r="E387">
        <f>IF(ISBLANK(A387), "", XLOOKUP(A387, Inventory!A:A, Inventory!E:E, 0))</f>
        <v/>
      </c>
      <c r="F387">
        <f>IF(ISBLANK(A387), "", (B387 * XLOOKUP(C387, 'Fees &amp; Postage Table'!A:A, 'Fees &amp; Postage Table'!C:C, 0)) + XLOOKUP(C387, 'Fees &amp; Postage Table'!A:A, 'Fees &amp; Postage Table'!B:B, 0))</f>
        <v/>
      </c>
      <c r="G387">
        <f>IF(ISBLANK(A387), "", XLOOKUP(C387, 'Fees &amp; Postage Table'!A:A, 'Fees &amp; Postage Table'!D:D, 0))</f>
        <v/>
      </c>
      <c r="H387">
        <f>IF(ISBLANK(A387), "", B387 - E387 - F387 - G387)</f>
        <v/>
      </c>
      <c r="I387">
        <f>IF(ISBLANK(A387), "", D387 - XLOOKUP(A387, Inventory!A:A, Inventory!H:H, TODAY()))</f>
        <v/>
      </c>
    </row>
    <row r="388">
      <c r="E388">
        <f>IF(ISBLANK(A388), "", XLOOKUP(A388, Inventory!A:A, Inventory!E:E, 0))</f>
        <v/>
      </c>
      <c r="F388">
        <f>IF(ISBLANK(A388), "", (B388 * XLOOKUP(C388, 'Fees &amp; Postage Table'!A:A, 'Fees &amp; Postage Table'!C:C, 0)) + XLOOKUP(C388, 'Fees &amp; Postage Table'!A:A, 'Fees &amp; Postage Table'!B:B, 0))</f>
        <v/>
      </c>
      <c r="G388">
        <f>IF(ISBLANK(A388), "", XLOOKUP(C388, 'Fees &amp; Postage Table'!A:A, 'Fees &amp; Postage Table'!D:D, 0))</f>
        <v/>
      </c>
      <c r="H388">
        <f>IF(ISBLANK(A388), "", B388 - E388 - F388 - G388)</f>
        <v/>
      </c>
      <c r="I388">
        <f>IF(ISBLANK(A388), "", D388 - XLOOKUP(A388, Inventory!A:A, Inventory!H:H, TODAY()))</f>
        <v/>
      </c>
    </row>
    <row r="389">
      <c r="E389">
        <f>IF(ISBLANK(A389), "", XLOOKUP(A389, Inventory!A:A, Inventory!E:E, 0))</f>
        <v/>
      </c>
      <c r="F389">
        <f>IF(ISBLANK(A389), "", (B389 * XLOOKUP(C389, 'Fees &amp; Postage Table'!A:A, 'Fees &amp; Postage Table'!C:C, 0)) + XLOOKUP(C389, 'Fees &amp; Postage Table'!A:A, 'Fees &amp; Postage Table'!B:B, 0))</f>
        <v/>
      </c>
      <c r="G389">
        <f>IF(ISBLANK(A389), "", XLOOKUP(C389, 'Fees &amp; Postage Table'!A:A, 'Fees &amp; Postage Table'!D:D, 0))</f>
        <v/>
      </c>
      <c r="H389">
        <f>IF(ISBLANK(A389), "", B389 - E389 - F389 - G389)</f>
        <v/>
      </c>
      <c r="I389">
        <f>IF(ISBLANK(A389), "", D389 - XLOOKUP(A389, Inventory!A:A, Inventory!H:H, TODAY()))</f>
        <v/>
      </c>
    </row>
    <row r="390">
      <c r="E390">
        <f>IF(ISBLANK(A390), "", XLOOKUP(A390, Inventory!A:A, Inventory!E:E, 0))</f>
        <v/>
      </c>
      <c r="F390">
        <f>IF(ISBLANK(A390), "", (B390 * XLOOKUP(C390, 'Fees &amp; Postage Table'!A:A, 'Fees &amp; Postage Table'!C:C, 0)) + XLOOKUP(C390, 'Fees &amp; Postage Table'!A:A, 'Fees &amp; Postage Table'!B:B, 0))</f>
        <v/>
      </c>
      <c r="G390">
        <f>IF(ISBLANK(A390), "", XLOOKUP(C390, 'Fees &amp; Postage Table'!A:A, 'Fees &amp; Postage Table'!D:D, 0))</f>
        <v/>
      </c>
      <c r="H390">
        <f>IF(ISBLANK(A390), "", B390 - E390 - F390 - G390)</f>
        <v/>
      </c>
      <c r="I390">
        <f>IF(ISBLANK(A390), "", D390 - XLOOKUP(A390, Inventory!A:A, Inventory!H:H, TODAY()))</f>
        <v/>
      </c>
    </row>
    <row r="391">
      <c r="E391">
        <f>IF(ISBLANK(A391), "", XLOOKUP(A391, Inventory!A:A, Inventory!E:E, 0))</f>
        <v/>
      </c>
      <c r="F391">
        <f>IF(ISBLANK(A391), "", (B391 * XLOOKUP(C391, 'Fees &amp; Postage Table'!A:A, 'Fees &amp; Postage Table'!C:C, 0)) + XLOOKUP(C391, 'Fees &amp; Postage Table'!A:A, 'Fees &amp; Postage Table'!B:B, 0))</f>
        <v/>
      </c>
      <c r="G391">
        <f>IF(ISBLANK(A391), "", XLOOKUP(C391, 'Fees &amp; Postage Table'!A:A, 'Fees &amp; Postage Table'!D:D, 0))</f>
        <v/>
      </c>
      <c r="H391">
        <f>IF(ISBLANK(A391), "", B391 - E391 - F391 - G391)</f>
        <v/>
      </c>
      <c r="I391">
        <f>IF(ISBLANK(A391), "", D391 - XLOOKUP(A391, Inventory!A:A, Inventory!H:H, TODAY()))</f>
        <v/>
      </c>
    </row>
    <row r="392">
      <c r="E392">
        <f>IF(ISBLANK(A392), "", XLOOKUP(A392, Inventory!A:A, Inventory!E:E, 0))</f>
        <v/>
      </c>
      <c r="F392">
        <f>IF(ISBLANK(A392), "", (B392 * XLOOKUP(C392, 'Fees &amp; Postage Table'!A:A, 'Fees &amp; Postage Table'!C:C, 0)) + XLOOKUP(C392, 'Fees &amp; Postage Table'!A:A, 'Fees &amp; Postage Table'!B:B, 0))</f>
        <v/>
      </c>
      <c r="G392">
        <f>IF(ISBLANK(A392), "", XLOOKUP(C392, 'Fees &amp; Postage Table'!A:A, 'Fees &amp; Postage Table'!D:D, 0))</f>
        <v/>
      </c>
      <c r="H392">
        <f>IF(ISBLANK(A392), "", B392 - E392 - F392 - G392)</f>
        <v/>
      </c>
      <c r="I392">
        <f>IF(ISBLANK(A392), "", D392 - XLOOKUP(A392, Inventory!A:A, Inventory!H:H, TODAY()))</f>
        <v/>
      </c>
    </row>
    <row r="393">
      <c r="E393">
        <f>IF(ISBLANK(A393), "", XLOOKUP(A393, Inventory!A:A, Inventory!E:E, 0))</f>
        <v/>
      </c>
      <c r="F393">
        <f>IF(ISBLANK(A393), "", (B393 * XLOOKUP(C393, 'Fees &amp; Postage Table'!A:A, 'Fees &amp; Postage Table'!C:C, 0)) + XLOOKUP(C393, 'Fees &amp; Postage Table'!A:A, 'Fees &amp; Postage Table'!B:B, 0))</f>
        <v/>
      </c>
      <c r="G393">
        <f>IF(ISBLANK(A393), "", XLOOKUP(C393, 'Fees &amp; Postage Table'!A:A, 'Fees &amp; Postage Table'!D:D, 0))</f>
        <v/>
      </c>
      <c r="H393">
        <f>IF(ISBLANK(A393), "", B393 - E393 - F393 - G393)</f>
        <v/>
      </c>
      <c r="I393">
        <f>IF(ISBLANK(A393), "", D393 - XLOOKUP(A393, Inventory!A:A, Inventory!H:H, TODAY()))</f>
        <v/>
      </c>
    </row>
    <row r="394">
      <c r="E394">
        <f>IF(ISBLANK(A394), "", XLOOKUP(A394, Inventory!A:A, Inventory!E:E, 0))</f>
        <v/>
      </c>
      <c r="F394">
        <f>IF(ISBLANK(A394), "", (B394 * XLOOKUP(C394, 'Fees &amp; Postage Table'!A:A, 'Fees &amp; Postage Table'!C:C, 0)) + XLOOKUP(C394, 'Fees &amp; Postage Table'!A:A, 'Fees &amp; Postage Table'!B:B, 0))</f>
        <v/>
      </c>
      <c r="G394">
        <f>IF(ISBLANK(A394), "", XLOOKUP(C394, 'Fees &amp; Postage Table'!A:A, 'Fees &amp; Postage Table'!D:D, 0))</f>
        <v/>
      </c>
      <c r="H394">
        <f>IF(ISBLANK(A394), "", B394 - E394 - F394 - G394)</f>
        <v/>
      </c>
      <c r="I394">
        <f>IF(ISBLANK(A394), "", D394 - XLOOKUP(A394, Inventory!A:A, Inventory!H:H, TODAY()))</f>
        <v/>
      </c>
    </row>
    <row r="395">
      <c r="E395">
        <f>IF(ISBLANK(A395), "", XLOOKUP(A395, Inventory!A:A, Inventory!E:E, 0))</f>
        <v/>
      </c>
      <c r="F395">
        <f>IF(ISBLANK(A395), "", (B395 * XLOOKUP(C395, 'Fees &amp; Postage Table'!A:A, 'Fees &amp; Postage Table'!C:C, 0)) + XLOOKUP(C395, 'Fees &amp; Postage Table'!A:A, 'Fees &amp; Postage Table'!B:B, 0))</f>
        <v/>
      </c>
      <c r="G395">
        <f>IF(ISBLANK(A395), "", XLOOKUP(C395, 'Fees &amp; Postage Table'!A:A, 'Fees &amp; Postage Table'!D:D, 0))</f>
        <v/>
      </c>
      <c r="H395">
        <f>IF(ISBLANK(A395), "", B395 - E395 - F395 - G395)</f>
        <v/>
      </c>
      <c r="I395">
        <f>IF(ISBLANK(A395), "", D395 - XLOOKUP(A395, Inventory!A:A, Inventory!H:H, TODAY()))</f>
        <v/>
      </c>
    </row>
    <row r="396">
      <c r="E396">
        <f>IF(ISBLANK(A396), "", XLOOKUP(A396, Inventory!A:A, Inventory!E:E, 0))</f>
        <v/>
      </c>
      <c r="F396">
        <f>IF(ISBLANK(A396), "", (B396 * XLOOKUP(C396, 'Fees &amp; Postage Table'!A:A, 'Fees &amp; Postage Table'!C:C, 0)) + XLOOKUP(C396, 'Fees &amp; Postage Table'!A:A, 'Fees &amp; Postage Table'!B:B, 0))</f>
        <v/>
      </c>
      <c r="G396">
        <f>IF(ISBLANK(A396), "", XLOOKUP(C396, 'Fees &amp; Postage Table'!A:A, 'Fees &amp; Postage Table'!D:D, 0))</f>
        <v/>
      </c>
      <c r="H396">
        <f>IF(ISBLANK(A396), "", B396 - E396 - F396 - G396)</f>
        <v/>
      </c>
      <c r="I396">
        <f>IF(ISBLANK(A396), "", D396 - XLOOKUP(A396, Inventory!A:A, Inventory!H:H, TODAY()))</f>
        <v/>
      </c>
    </row>
    <row r="397">
      <c r="E397">
        <f>IF(ISBLANK(A397), "", XLOOKUP(A397, Inventory!A:A, Inventory!E:E, 0))</f>
        <v/>
      </c>
      <c r="F397">
        <f>IF(ISBLANK(A397), "", (B397 * XLOOKUP(C397, 'Fees &amp; Postage Table'!A:A, 'Fees &amp; Postage Table'!C:C, 0)) + XLOOKUP(C397, 'Fees &amp; Postage Table'!A:A, 'Fees &amp; Postage Table'!B:B, 0))</f>
        <v/>
      </c>
      <c r="G397">
        <f>IF(ISBLANK(A397), "", XLOOKUP(C397, 'Fees &amp; Postage Table'!A:A, 'Fees &amp; Postage Table'!D:D, 0))</f>
        <v/>
      </c>
      <c r="H397">
        <f>IF(ISBLANK(A397), "", B397 - E397 - F397 - G397)</f>
        <v/>
      </c>
      <c r="I397">
        <f>IF(ISBLANK(A397), "", D397 - XLOOKUP(A397, Inventory!A:A, Inventory!H:H, TODAY()))</f>
        <v/>
      </c>
    </row>
    <row r="398">
      <c r="E398">
        <f>IF(ISBLANK(A398), "", XLOOKUP(A398, Inventory!A:A, Inventory!E:E, 0))</f>
        <v/>
      </c>
      <c r="F398">
        <f>IF(ISBLANK(A398), "", (B398 * XLOOKUP(C398, 'Fees &amp; Postage Table'!A:A, 'Fees &amp; Postage Table'!C:C, 0)) + XLOOKUP(C398, 'Fees &amp; Postage Table'!A:A, 'Fees &amp; Postage Table'!B:B, 0))</f>
        <v/>
      </c>
      <c r="G398">
        <f>IF(ISBLANK(A398), "", XLOOKUP(C398, 'Fees &amp; Postage Table'!A:A, 'Fees &amp; Postage Table'!D:D, 0))</f>
        <v/>
      </c>
      <c r="H398">
        <f>IF(ISBLANK(A398), "", B398 - E398 - F398 - G398)</f>
        <v/>
      </c>
      <c r="I398">
        <f>IF(ISBLANK(A398), "", D398 - XLOOKUP(A398, Inventory!A:A, Inventory!H:H, TODAY()))</f>
        <v/>
      </c>
    </row>
    <row r="399">
      <c r="E399">
        <f>IF(ISBLANK(A399), "", XLOOKUP(A399, Inventory!A:A, Inventory!E:E, 0))</f>
        <v/>
      </c>
      <c r="F399">
        <f>IF(ISBLANK(A399), "", (B399 * XLOOKUP(C399, 'Fees &amp; Postage Table'!A:A, 'Fees &amp; Postage Table'!C:C, 0)) + XLOOKUP(C399, 'Fees &amp; Postage Table'!A:A, 'Fees &amp; Postage Table'!B:B, 0))</f>
        <v/>
      </c>
      <c r="G399">
        <f>IF(ISBLANK(A399), "", XLOOKUP(C399, 'Fees &amp; Postage Table'!A:A, 'Fees &amp; Postage Table'!D:D, 0))</f>
        <v/>
      </c>
      <c r="H399">
        <f>IF(ISBLANK(A399), "", B399 - E399 - F399 - G399)</f>
        <v/>
      </c>
      <c r="I399">
        <f>IF(ISBLANK(A399), "", D399 - XLOOKUP(A399, Inventory!A:A, Inventory!H:H, TODAY()))</f>
        <v/>
      </c>
    </row>
    <row r="400">
      <c r="E400">
        <f>IF(ISBLANK(A400), "", XLOOKUP(A400, Inventory!A:A, Inventory!E:E, 0))</f>
        <v/>
      </c>
      <c r="F400">
        <f>IF(ISBLANK(A400), "", (B400 * XLOOKUP(C400, 'Fees &amp; Postage Table'!A:A, 'Fees &amp; Postage Table'!C:C, 0)) + XLOOKUP(C400, 'Fees &amp; Postage Table'!A:A, 'Fees &amp; Postage Table'!B:B, 0))</f>
        <v/>
      </c>
      <c r="G400">
        <f>IF(ISBLANK(A400), "", XLOOKUP(C400, 'Fees &amp; Postage Table'!A:A, 'Fees &amp; Postage Table'!D:D, 0))</f>
        <v/>
      </c>
      <c r="H400">
        <f>IF(ISBLANK(A400), "", B400 - E400 - F400 - G400)</f>
        <v/>
      </c>
      <c r="I400">
        <f>IF(ISBLANK(A400), "", D400 - XLOOKUP(A400, Inventory!A:A, Inventory!H:H, TODAY()))</f>
        <v/>
      </c>
    </row>
    <row r="401">
      <c r="E401">
        <f>IF(ISBLANK(A401), "", XLOOKUP(A401, Inventory!A:A, Inventory!E:E, 0))</f>
        <v/>
      </c>
      <c r="F401">
        <f>IF(ISBLANK(A401), "", (B401 * XLOOKUP(C401, 'Fees &amp; Postage Table'!A:A, 'Fees &amp; Postage Table'!C:C, 0)) + XLOOKUP(C401, 'Fees &amp; Postage Table'!A:A, 'Fees &amp; Postage Table'!B:B, 0))</f>
        <v/>
      </c>
      <c r="G401">
        <f>IF(ISBLANK(A401), "", XLOOKUP(C401, 'Fees &amp; Postage Table'!A:A, 'Fees &amp; Postage Table'!D:D, 0))</f>
        <v/>
      </c>
      <c r="H401">
        <f>IF(ISBLANK(A401), "", B401 - E401 - F401 - G401)</f>
        <v/>
      </c>
      <c r="I401">
        <f>IF(ISBLANK(A401), "", D401 - XLOOKUP(A401, Inventory!A:A, Inventory!H:H, TODAY()))</f>
        <v/>
      </c>
    </row>
    <row r="402">
      <c r="E402">
        <f>IF(ISBLANK(A402), "", XLOOKUP(A402, Inventory!A:A, Inventory!E:E, 0))</f>
        <v/>
      </c>
      <c r="F402">
        <f>IF(ISBLANK(A402), "", (B402 * XLOOKUP(C402, 'Fees &amp; Postage Table'!A:A, 'Fees &amp; Postage Table'!C:C, 0)) + XLOOKUP(C402, 'Fees &amp; Postage Table'!A:A, 'Fees &amp; Postage Table'!B:B, 0))</f>
        <v/>
      </c>
      <c r="G402">
        <f>IF(ISBLANK(A402), "", XLOOKUP(C402, 'Fees &amp; Postage Table'!A:A, 'Fees &amp; Postage Table'!D:D, 0))</f>
        <v/>
      </c>
      <c r="H402">
        <f>IF(ISBLANK(A402), "", B402 - E402 - F402 - G402)</f>
        <v/>
      </c>
      <c r="I402">
        <f>IF(ISBLANK(A402), "", D402 - XLOOKUP(A402, Inventory!A:A, Inventory!H:H, TODAY()))</f>
        <v/>
      </c>
    </row>
    <row r="403">
      <c r="E403">
        <f>IF(ISBLANK(A403), "", XLOOKUP(A403, Inventory!A:A, Inventory!E:E, 0))</f>
        <v/>
      </c>
      <c r="F403">
        <f>IF(ISBLANK(A403), "", (B403 * XLOOKUP(C403, 'Fees &amp; Postage Table'!A:A, 'Fees &amp; Postage Table'!C:C, 0)) + XLOOKUP(C403, 'Fees &amp; Postage Table'!A:A, 'Fees &amp; Postage Table'!B:B, 0))</f>
        <v/>
      </c>
      <c r="G403">
        <f>IF(ISBLANK(A403), "", XLOOKUP(C403, 'Fees &amp; Postage Table'!A:A, 'Fees &amp; Postage Table'!D:D, 0))</f>
        <v/>
      </c>
      <c r="H403">
        <f>IF(ISBLANK(A403), "", B403 - E403 - F403 - G403)</f>
        <v/>
      </c>
      <c r="I403">
        <f>IF(ISBLANK(A403), "", D403 - XLOOKUP(A403, Inventory!A:A, Inventory!H:H, TODAY()))</f>
        <v/>
      </c>
    </row>
    <row r="404">
      <c r="E404">
        <f>IF(ISBLANK(A404), "", XLOOKUP(A404, Inventory!A:A, Inventory!E:E, 0))</f>
        <v/>
      </c>
      <c r="F404">
        <f>IF(ISBLANK(A404), "", (B404 * XLOOKUP(C404, 'Fees &amp; Postage Table'!A:A, 'Fees &amp; Postage Table'!C:C, 0)) + XLOOKUP(C404, 'Fees &amp; Postage Table'!A:A, 'Fees &amp; Postage Table'!B:B, 0))</f>
        <v/>
      </c>
      <c r="G404">
        <f>IF(ISBLANK(A404), "", XLOOKUP(C404, 'Fees &amp; Postage Table'!A:A, 'Fees &amp; Postage Table'!D:D, 0))</f>
        <v/>
      </c>
      <c r="H404">
        <f>IF(ISBLANK(A404), "", B404 - E404 - F404 - G404)</f>
        <v/>
      </c>
      <c r="I404">
        <f>IF(ISBLANK(A404), "", D404 - XLOOKUP(A404, Inventory!A:A, Inventory!H:H, TODAY()))</f>
        <v/>
      </c>
    </row>
    <row r="405">
      <c r="E405">
        <f>IF(ISBLANK(A405), "", XLOOKUP(A405, Inventory!A:A, Inventory!E:E, 0))</f>
        <v/>
      </c>
      <c r="F405">
        <f>IF(ISBLANK(A405), "", (B405 * XLOOKUP(C405, 'Fees &amp; Postage Table'!A:A, 'Fees &amp; Postage Table'!C:C, 0)) + XLOOKUP(C405, 'Fees &amp; Postage Table'!A:A, 'Fees &amp; Postage Table'!B:B, 0))</f>
        <v/>
      </c>
      <c r="G405">
        <f>IF(ISBLANK(A405), "", XLOOKUP(C405, 'Fees &amp; Postage Table'!A:A, 'Fees &amp; Postage Table'!D:D, 0))</f>
        <v/>
      </c>
      <c r="H405">
        <f>IF(ISBLANK(A405), "", B405 - E405 - F405 - G405)</f>
        <v/>
      </c>
      <c r="I405">
        <f>IF(ISBLANK(A405), "", D405 - XLOOKUP(A405, Inventory!A:A, Inventory!H:H, TODAY()))</f>
        <v/>
      </c>
    </row>
    <row r="406">
      <c r="E406">
        <f>IF(ISBLANK(A406), "", XLOOKUP(A406, Inventory!A:A, Inventory!E:E, 0))</f>
        <v/>
      </c>
      <c r="F406">
        <f>IF(ISBLANK(A406), "", (B406 * XLOOKUP(C406, 'Fees &amp; Postage Table'!A:A, 'Fees &amp; Postage Table'!C:C, 0)) + XLOOKUP(C406, 'Fees &amp; Postage Table'!A:A, 'Fees &amp; Postage Table'!B:B, 0))</f>
        <v/>
      </c>
      <c r="G406">
        <f>IF(ISBLANK(A406), "", XLOOKUP(C406, 'Fees &amp; Postage Table'!A:A, 'Fees &amp; Postage Table'!D:D, 0))</f>
        <v/>
      </c>
      <c r="H406">
        <f>IF(ISBLANK(A406), "", B406 - E406 - F406 - G406)</f>
        <v/>
      </c>
      <c r="I406">
        <f>IF(ISBLANK(A406), "", D406 - XLOOKUP(A406, Inventory!A:A, Inventory!H:H, TODAY()))</f>
        <v/>
      </c>
    </row>
    <row r="407">
      <c r="E407">
        <f>IF(ISBLANK(A407), "", XLOOKUP(A407, Inventory!A:A, Inventory!E:E, 0))</f>
        <v/>
      </c>
      <c r="F407">
        <f>IF(ISBLANK(A407), "", (B407 * XLOOKUP(C407, 'Fees &amp; Postage Table'!A:A, 'Fees &amp; Postage Table'!C:C, 0)) + XLOOKUP(C407, 'Fees &amp; Postage Table'!A:A, 'Fees &amp; Postage Table'!B:B, 0))</f>
        <v/>
      </c>
      <c r="G407">
        <f>IF(ISBLANK(A407), "", XLOOKUP(C407, 'Fees &amp; Postage Table'!A:A, 'Fees &amp; Postage Table'!D:D, 0))</f>
        <v/>
      </c>
      <c r="H407">
        <f>IF(ISBLANK(A407), "", B407 - E407 - F407 - G407)</f>
        <v/>
      </c>
      <c r="I407">
        <f>IF(ISBLANK(A407), "", D407 - XLOOKUP(A407, Inventory!A:A, Inventory!H:H, TODAY()))</f>
        <v/>
      </c>
    </row>
    <row r="408">
      <c r="E408">
        <f>IF(ISBLANK(A408), "", XLOOKUP(A408, Inventory!A:A, Inventory!E:E, 0))</f>
        <v/>
      </c>
      <c r="F408">
        <f>IF(ISBLANK(A408), "", (B408 * XLOOKUP(C408, 'Fees &amp; Postage Table'!A:A, 'Fees &amp; Postage Table'!C:C, 0)) + XLOOKUP(C408, 'Fees &amp; Postage Table'!A:A, 'Fees &amp; Postage Table'!B:B, 0))</f>
        <v/>
      </c>
      <c r="G408">
        <f>IF(ISBLANK(A408), "", XLOOKUP(C408, 'Fees &amp; Postage Table'!A:A, 'Fees &amp; Postage Table'!D:D, 0))</f>
        <v/>
      </c>
      <c r="H408">
        <f>IF(ISBLANK(A408), "", B408 - E408 - F408 - G408)</f>
        <v/>
      </c>
      <c r="I408">
        <f>IF(ISBLANK(A408), "", D408 - XLOOKUP(A408, Inventory!A:A, Inventory!H:H, TODAY()))</f>
        <v/>
      </c>
    </row>
    <row r="409">
      <c r="E409">
        <f>IF(ISBLANK(A409), "", XLOOKUP(A409, Inventory!A:A, Inventory!E:E, 0))</f>
        <v/>
      </c>
      <c r="F409">
        <f>IF(ISBLANK(A409), "", (B409 * XLOOKUP(C409, 'Fees &amp; Postage Table'!A:A, 'Fees &amp; Postage Table'!C:C, 0)) + XLOOKUP(C409, 'Fees &amp; Postage Table'!A:A, 'Fees &amp; Postage Table'!B:B, 0))</f>
        <v/>
      </c>
      <c r="G409">
        <f>IF(ISBLANK(A409), "", XLOOKUP(C409, 'Fees &amp; Postage Table'!A:A, 'Fees &amp; Postage Table'!D:D, 0))</f>
        <v/>
      </c>
      <c r="H409">
        <f>IF(ISBLANK(A409), "", B409 - E409 - F409 - G409)</f>
        <v/>
      </c>
      <c r="I409">
        <f>IF(ISBLANK(A409), "", D409 - XLOOKUP(A409, Inventory!A:A, Inventory!H:H, TODAY()))</f>
        <v/>
      </c>
    </row>
    <row r="410">
      <c r="E410">
        <f>IF(ISBLANK(A410), "", XLOOKUP(A410, Inventory!A:A, Inventory!E:E, 0))</f>
        <v/>
      </c>
      <c r="F410">
        <f>IF(ISBLANK(A410), "", (B410 * XLOOKUP(C410, 'Fees &amp; Postage Table'!A:A, 'Fees &amp; Postage Table'!C:C, 0)) + XLOOKUP(C410, 'Fees &amp; Postage Table'!A:A, 'Fees &amp; Postage Table'!B:B, 0))</f>
        <v/>
      </c>
      <c r="G410">
        <f>IF(ISBLANK(A410), "", XLOOKUP(C410, 'Fees &amp; Postage Table'!A:A, 'Fees &amp; Postage Table'!D:D, 0))</f>
        <v/>
      </c>
      <c r="H410">
        <f>IF(ISBLANK(A410), "", B410 - E410 - F410 - G410)</f>
        <v/>
      </c>
      <c r="I410">
        <f>IF(ISBLANK(A410), "", D410 - XLOOKUP(A410, Inventory!A:A, Inventory!H:H, TODAY()))</f>
        <v/>
      </c>
    </row>
    <row r="411">
      <c r="E411">
        <f>IF(ISBLANK(A411), "", XLOOKUP(A411, Inventory!A:A, Inventory!E:E, 0))</f>
        <v/>
      </c>
      <c r="F411">
        <f>IF(ISBLANK(A411), "", (B411 * XLOOKUP(C411, 'Fees &amp; Postage Table'!A:A, 'Fees &amp; Postage Table'!C:C, 0)) + XLOOKUP(C411, 'Fees &amp; Postage Table'!A:A, 'Fees &amp; Postage Table'!B:B, 0))</f>
        <v/>
      </c>
      <c r="G411">
        <f>IF(ISBLANK(A411), "", XLOOKUP(C411, 'Fees &amp; Postage Table'!A:A, 'Fees &amp; Postage Table'!D:D, 0))</f>
        <v/>
      </c>
      <c r="H411">
        <f>IF(ISBLANK(A411), "", B411 - E411 - F411 - G411)</f>
        <v/>
      </c>
      <c r="I411">
        <f>IF(ISBLANK(A411), "", D411 - XLOOKUP(A411, Inventory!A:A, Inventory!H:H, TODAY()))</f>
        <v/>
      </c>
    </row>
    <row r="412">
      <c r="E412">
        <f>IF(ISBLANK(A412), "", XLOOKUP(A412, Inventory!A:A, Inventory!E:E, 0))</f>
        <v/>
      </c>
      <c r="F412">
        <f>IF(ISBLANK(A412), "", (B412 * XLOOKUP(C412, 'Fees &amp; Postage Table'!A:A, 'Fees &amp; Postage Table'!C:C, 0)) + XLOOKUP(C412, 'Fees &amp; Postage Table'!A:A, 'Fees &amp; Postage Table'!B:B, 0))</f>
        <v/>
      </c>
      <c r="G412">
        <f>IF(ISBLANK(A412), "", XLOOKUP(C412, 'Fees &amp; Postage Table'!A:A, 'Fees &amp; Postage Table'!D:D, 0))</f>
        <v/>
      </c>
      <c r="H412">
        <f>IF(ISBLANK(A412), "", B412 - E412 - F412 - G412)</f>
        <v/>
      </c>
      <c r="I412">
        <f>IF(ISBLANK(A412), "", D412 - XLOOKUP(A412, Inventory!A:A, Inventory!H:H, TODAY()))</f>
        <v/>
      </c>
    </row>
    <row r="413">
      <c r="E413">
        <f>IF(ISBLANK(A413), "", XLOOKUP(A413, Inventory!A:A, Inventory!E:E, 0))</f>
        <v/>
      </c>
      <c r="F413">
        <f>IF(ISBLANK(A413), "", (B413 * XLOOKUP(C413, 'Fees &amp; Postage Table'!A:A, 'Fees &amp; Postage Table'!C:C, 0)) + XLOOKUP(C413, 'Fees &amp; Postage Table'!A:A, 'Fees &amp; Postage Table'!B:B, 0))</f>
        <v/>
      </c>
      <c r="G413">
        <f>IF(ISBLANK(A413), "", XLOOKUP(C413, 'Fees &amp; Postage Table'!A:A, 'Fees &amp; Postage Table'!D:D, 0))</f>
        <v/>
      </c>
      <c r="H413">
        <f>IF(ISBLANK(A413), "", B413 - E413 - F413 - G413)</f>
        <v/>
      </c>
      <c r="I413">
        <f>IF(ISBLANK(A413), "", D413 - XLOOKUP(A413, Inventory!A:A, Inventory!H:H, TODAY()))</f>
        <v/>
      </c>
    </row>
    <row r="414">
      <c r="E414">
        <f>IF(ISBLANK(A414), "", XLOOKUP(A414, Inventory!A:A, Inventory!E:E, 0))</f>
        <v/>
      </c>
      <c r="F414">
        <f>IF(ISBLANK(A414), "", (B414 * XLOOKUP(C414, 'Fees &amp; Postage Table'!A:A, 'Fees &amp; Postage Table'!C:C, 0)) + XLOOKUP(C414, 'Fees &amp; Postage Table'!A:A, 'Fees &amp; Postage Table'!B:B, 0))</f>
        <v/>
      </c>
      <c r="G414">
        <f>IF(ISBLANK(A414), "", XLOOKUP(C414, 'Fees &amp; Postage Table'!A:A, 'Fees &amp; Postage Table'!D:D, 0))</f>
        <v/>
      </c>
      <c r="H414">
        <f>IF(ISBLANK(A414), "", B414 - E414 - F414 - G414)</f>
        <v/>
      </c>
      <c r="I414">
        <f>IF(ISBLANK(A414), "", D414 - XLOOKUP(A414, Inventory!A:A, Inventory!H:H, TODAY()))</f>
        <v/>
      </c>
    </row>
    <row r="415">
      <c r="E415">
        <f>IF(ISBLANK(A415), "", XLOOKUP(A415, Inventory!A:A, Inventory!E:E, 0))</f>
        <v/>
      </c>
      <c r="F415">
        <f>IF(ISBLANK(A415), "", (B415 * XLOOKUP(C415, 'Fees &amp; Postage Table'!A:A, 'Fees &amp; Postage Table'!C:C, 0)) + XLOOKUP(C415, 'Fees &amp; Postage Table'!A:A, 'Fees &amp; Postage Table'!B:B, 0))</f>
        <v/>
      </c>
      <c r="G415">
        <f>IF(ISBLANK(A415), "", XLOOKUP(C415, 'Fees &amp; Postage Table'!A:A, 'Fees &amp; Postage Table'!D:D, 0))</f>
        <v/>
      </c>
      <c r="H415">
        <f>IF(ISBLANK(A415), "", B415 - E415 - F415 - G415)</f>
        <v/>
      </c>
      <c r="I415">
        <f>IF(ISBLANK(A415), "", D415 - XLOOKUP(A415, Inventory!A:A, Inventory!H:H, TODAY()))</f>
        <v/>
      </c>
    </row>
    <row r="416">
      <c r="E416">
        <f>IF(ISBLANK(A416), "", XLOOKUP(A416, Inventory!A:A, Inventory!E:E, 0))</f>
        <v/>
      </c>
      <c r="F416">
        <f>IF(ISBLANK(A416), "", (B416 * XLOOKUP(C416, 'Fees &amp; Postage Table'!A:A, 'Fees &amp; Postage Table'!C:C, 0)) + XLOOKUP(C416, 'Fees &amp; Postage Table'!A:A, 'Fees &amp; Postage Table'!B:B, 0))</f>
        <v/>
      </c>
      <c r="G416">
        <f>IF(ISBLANK(A416), "", XLOOKUP(C416, 'Fees &amp; Postage Table'!A:A, 'Fees &amp; Postage Table'!D:D, 0))</f>
        <v/>
      </c>
      <c r="H416">
        <f>IF(ISBLANK(A416), "", B416 - E416 - F416 - G416)</f>
        <v/>
      </c>
      <c r="I416">
        <f>IF(ISBLANK(A416), "", D416 - XLOOKUP(A416, Inventory!A:A, Inventory!H:H, TODAY()))</f>
        <v/>
      </c>
    </row>
    <row r="417">
      <c r="E417">
        <f>IF(ISBLANK(A417), "", XLOOKUP(A417, Inventory!A:A, Inventory!E:E, 0))</f>
        <v/>
      </c>
      <c r="F417">
        <f>IF(ISBLANK(A417), "", (B417 * XLOOKUP(C417, 'Fees &amp; Postage Table'!A:A, 'Fees &amp; Postage Table'!C:C, 0)) + XLOOKUP(C417, 'Fees &amp; Postage Table'!A:A, 'Fees &amp; Postage Table'!B:B, 0))</f>
        <v/>
      </c>
      <c r="G417">
        <f>IF(ISBLANK(A417), "", XLOOKUP(C417, 'Fees &amp; Postage Table'!A:A, 'Fees &amp; Postage Table'!D:D, 0))</f>
        <v/>
      </c>
      <c r="H417">
        <f>IF(ISBLANK(A417), "", B417 - E417 - F417 - G417)</f>
        <v/>
      </c>
      <c r="I417">
        <f>IF(ISBLANK(A417), "", D417 - XLOOKUP(A417, Inventory!A:A, Inventory!H:H, TODAY()))</f>
        <v/>
      </c>
    </row>
    <row r="418">
      <c r="E418">
        <f>IF(ISBLANK(A418), "", XLOOKUP(A418, Inventory!A:A, Inventory!E:E, 0))</f>
        <v/>
      </c>
      <c r="F418">
        <f>IF(ISBLANK(A418), "", (B418 * XLOOKUP(C418, 'Fees &amp; Postage Table'!A:A, 'Fees &amp; Postage Table'!C:C, 0)) + XLOOKUP(C418, 'Fees &amp; Postage Table'!A:A, 'Fees &amp; Postage Table'!B:B, 0))</f>
        <v/>
      </c>
      <c r="G418">
        <f>IF(ISBLANK(A418), "", XLOOKUP(C418, 'Fees &amp; Postage Table'!A:A, 'Fees &amp; Postage Table'!D:D, 0))</f>
        <v/>
      </c>
      <c r="H418">
        <f>IF(ISBLANK(A418), "", B418 - E418 - F418 - G418)</f>
        <v/>
      </c>
      <c r="I418">
        <f>IF(ISBLANK(A418), "", D418 - XLOOKUP(A418, Inventory!A:A, Inventory!H:H, TODAY()))</f>
        <v/>
      </c>
    </row>
    <row r="419">
      <c r="E419">
        <f>IF(ISBLANK(A419), "", XLOOKUP(A419, Inventory!A:A, Inventory!E:E, 0))</f>
        <v/>
      </c>
      <c r="F419">
        <f>IF(ISBLANK(A419), "", (B419 * XLOOKUP(C419, 'Fees &amp; Postage Table'!A:A, 'Fees &amp; Postage Table'!C:C, 0)) + XLOOKUP(C419, 'Fees &amp; Postage Table'!A:A, 'Fees &amp; Postage Table'!B:B, 0))</f>
        <v/>
      </c>
      <c r="G419">
        <f>IF(ISBLANK(A419), "", XLOOKUP(C419, 'Fees &amp; Postage Table'!A:A, 'Fees &amp; Postage Table'!D:D, 0))</f>
        <v/>
      </c>
      <c r="H419">
        <f>IF(ISBLANK(A419), "", B419 - E419 - F419 - G419)</f>
        <v/>
      </c>
      <c r="I419">
        <f>IF(ISBLANK(A419), "", D419 - XLOOKUP(A419, Inventory!A:A, Inventory!H:H, TODAY()))</f>
        <v/>
      </c>
    </row>
    <row r="420">
      <c r="E420">
        <f>IF(ISBLANK(A420), "", XLOOKUP(A420, Inventory!A:A, Inventory!E:E, 0))</f>
        <v/>
      </c>
      <c r="F420">
        <f>IF(ISBLANK(A420), "", (B420 * XLOOKUP(C420, 'Fees &amp; Postage Table'!A:A, 'Fees &amp; Postage Table'!C:C, 0)) + XLOOKUP(C420, 'Fees &amp; Postage Table'!A:A, 'Fees &amp; Postage Table'!B:B, 0))</f>
        <v/>
      </c>
      <c r="G420">
        <f>IF(ISBLANK(A420), "", XLOOKUP(C420, 'Fees &amp; Postage Table'!A:A, 'Fees &amp; Postage Table'!D:D, 0))</f>
        <v/>
      </c>
      <c r="H420">
        <f>IF(ISBLANK(A420), "", B420 - E420 - F420 - G420)</f>
        <v/>
      </c>
      <c r="I420">
        <f>IF(ISBLANK(A420), "", D420 - XLOOKUP(A420, Inventory!A:A, Inventory!H:H, TODAY()))</f>
        <v/>
      </c>
    </row>
    <row r="421">
      <c r="E421">
        <f>IF(ISBLANK(A421), "", XLOOKUP(A421, Inventory!A:A, Inventory!E:E, 0))</f>
        <v/>
      </c>
      <c r="F421">
        <f>IF(ISBLANK(A421), "", (B421 * XLOOKUP(C421, 'Fees &amp; Postage Table'!A:A, 'Fees &amp; Postage Table'!C:C, 0)) + XLOOKUP(C421, 'Fees &amp; Postage Table'!A:A, 'Fees &amp; Postage Table'!B:B, 0))</f>
        <v/>
      </c>
      <c r="G421">
        <f>IF(ISBLANK(A421), "", XLOOKUP(C421, 'Fees &amp; Postage Table'!A:A, 'Fees &amp; Postage Table'!D:D, 0))</f>
        <v/>
      </c>
      <c r="H421">
        <f>IF(ISBLANK(A421), "", B421 - E421 - F421 - G421)</f>
        <v/>
      </c>
      <c r="I421">
        <f>IF(ISBLANK(A421), "", D421 - XLOOKUP(A421, Inventory!A:A, Inventory!H:H, TODAY()))</f>
        <v/>
      </c>
    </row>
    <row r="422">
      <c r="E422">
        <f>IF(ISBLANK(A422), "", XLOOKUP(A422, Inventory!A:A, Inventory!E:E, 0))</f>
        <v/>
      </c>
      <c r="F422">
        <f>IF(ISBLANK(A422), "", (B422 * XLOOKUP(C422, 'Fees &amp; Postage Table'!A:A, 'Fees &amp; Postage Table'!C:C, 0)) + XLOOKUP(C422, 'Fees &amp; Postage Table'!A:A, 'Fees &amp; Postage Table'!B:B, 0))</f>
        <v/>
      </c>
      <c r="G422">
        <f>IF(ISBLANK(A422), "", XLOOKUP(C422, 'Fees &amp; Postage Table'!A:A, 'Fees &amp; Postage Table'!D:D, 0))</f>
        <v/>
      </c>
      <c r="H422">
        <f>IF(ISBLANK(A422), "", B422 - E422 - F422 - G422)</f>
        <v/>
      </c>
      <c r="I422">
        <f>IF(ISBLANK(A422), "", D422 - XLOOKUP(A422, Inventory!A:A, Inventory!H:H, TODAY()))</f>
        <v/>
      </c>
    </row>
    <row r="423">
      <c r="E423">
        <f>IF(ISBLANK(A423), "", XLOOKUP(A423, Inventory!A:A, Inventory!E:E, 0))</f>
        <v/>
      </c>
      <c r="F423">
        <f>IF(ISBLANK(A423), "", (B423 * XLOOKUP(C423, 'Fees &amp; Postage Table'!A:A, 'Fees &amp; Postage Table'!C:C, 0)) + XLOOKUP(C423, 'Fees &amp; Postage Table'!A:A, 'Fees &amp; Postage Table'!B:B, 0))</f>
        <v/>
      </c>
      <c r="G423">
        <f>IF(ISBLANK(A423), "", XLOOKUP(C423, 'Fees &amp; Postage Table'!A:A, 'Fees &amp; Postage Table'!D:D, 0))</f>
        <v/>
      </c>
      <c r="H423">
        <f>IF(ISBLANK(A423), "", B423 - E423 - F423 - G423)</f>
        <v/>
      </c>
      <c r="I423">
        <f>IF(ISBLANK(A423), "", D423 - XLOOKUP(A423, Inventory!A:A, Inventory!H:H, TODAY()))</f>
        <v/>
      </c>
    </row>
    <row r="424">
      <c r="E424">
        <f>IF(ISBLANK(A424), "", XLOOKUP(A424, Inventory!A:A, Inventory!E:E, 0))</f>
        <v/>
      </c>
      <c r="F424">
        <f>IF(ISBLANK(A424), "", (B424 * XLOOKUP(C424, 'Fees &amp; Postage Table'!A:A, 'Fees &amp; Postage Table'!C:C, 0)) + XLOOKUP(C424, 'Fees &amp; Postage Table'!A:A, 'Fees &amp; Postage Table'!B:B, 0))</f>
        <v/>
      </c>
      <c r="G424">
        <f>IF(ISBLANK(A424), "", XLOOKUP(C424, 'Fees &amp; Postage Table'!A:A, 'Fees &amp; Postage Table'!D:D, 0))</f>
        <v/>
      </c>
      <c r="H424">
        <f>IF(ISBLANK(A424), "", B424 - E424 - F424 - G424)</f>
        <v/>
      </c>
      <c r="I424">
        <f>IF(ISBLANK(A424), "", D424 - XLOOKUP(A424, Inventory!A:A, Inventory!H:H, TODAY()))</f>
        <v/>
      </c>
    </row>
    <row r="425">
      <c r="E425">
        <f>IF(ISBLANK(A425), "", XLOOKUP(A425, Inventory!A:A, Inventory!E:E, 0))</f>
        <v/>
      </c>
      <c r="F425">
        <f>IF(ISBLANK(A425), "", (B425 * XLOOKUP(C425, 'Fees &amp; Postage Table'!A:A, 'Fees &amp; Postage Table'!C:C, 0)) + XLOOKUP(C425, 'Fees &amp; Postage Table'!A:A, 'Fees &amp; Postage Table'!B:B, 0))</f>
        <v/>
      </c>
      <c r="G425">
        <f>IF(ISBLANK(A425), "", XLOOKUP(C425, 'Fees &amp; Postage Table'!A:A, 'Fees &amp; Postage Table'!D:D, 0))</f>
        <v/>
      </c>
      <c r="H425">
        <f>IF(ISBLANK(A425), "", B425 - E425 - F425 - G425)</f>
        <v/>
      </c>
      <c r="I425">
        <f>IF(ISBLANK(A425), "", D425 - XLOOKUP(A425, Inventory!A:A, Inventory!H:H, TODAY()))</f>
        <v/>
      </c>
    </row>
    <row r="426">
      <c r="E426">
        <f>IF(ISBLANK(A426), "", XLOOKUP(A426, Inventory!A:A, Inventory!E:E, 0))</f>
        <v/>
      </c>
      <c r="F426">
        <f>IF(ISBLANK(A426), "", (B426 * XLOOKUP(C426, 'Fees &amp; Postage Table'!A:A, 'Fees &amp; Postage Table'!C:C, 0)) + XLOOKUP(C426, 'Fees &amp; Postage Table'!A:A, 'Fees &amp; Postage Table'!B:B, 0))</f>
        <v/>
      </c>
      <c r="G426">
        <f>IF(ISBLANK(A426), "", XLOOKUP(C426, 'Fees &amp; Postage Table'!A:A, 'Fees &amp; Postage Table'!D:D, 0))</f>
        <v/>
      </c>
      <c r="H426">
        <f>IF(ISBLANK(A426), "", B426 - E426 - F426 - G426)</f>
        <v/>
      </c>
      <c r="I426">
        <f>IF(ISBLANK(A426), "", D426 - XLOOKUP(A426, Inventory!A:A, Inventory!H:H, TODAY()))</f>
        <v/>
      </c>
    </row>
    <row r="427">
      <c r="E427">
        <f>IF(ISBLANK(A427), "", XLOOKUP(A427, Inventory!A:A, Inventory!E:E, 0))</f>
        <v/>
      </c>
      <c r="F427">
        <f>IF(ISBLANK(A427), "", (B427 * XLOOKUP(C427, 'Fees &amp; Postage Table'!A:A, 'Fees &amp; Postage Table'!C:C, 0)) + XLOOKUP(C427, 'Fees &amp; Postage Table'!A:A, 'Fees &amp; Postage Table'!B:B, 0))</f>
        <v/>
      </c>
      <c r="G427">
        <f>IF(ISBLANK(A427), "", XLOOKUP(C427, 'Fees &amp; Postage Table'!A:A, 'Fees &amp; Postage Table'!D:D, 0))</f>
        <v/>
      </c>
      <c r="H427">
        <f>IF(ISBLANK(A427), "", B427 - E427 - F427 - G427)</f>
        <v/>
      </c>
      <c r="I427">
        <f>IF(ISBLANK(A427), "", D427 - XLOOKUP(A427, Inventory!A:A, Inventory!H:H, TODAY()))</f>
        <v/>
      </c>
    </row>
    <row r="428">
      <c r="E428">
        <f>IF(ISBLANK(A428), "", XLOOKUP(A428, Inventory!A:A, Inventory!E:E, 0))</f>
        <v/>
      </c>
      <c r="F428">
        <f>IF(ISBLANK(A428), "", (B428 * XLOOKUP(C428, 'Fees &amp; Postage Table'!A:A, 'Fees &amp; Postage Table'!C:C, 0)) + XLOOKUP(C428, 'Fees &amp; Postage Table'!A:A, 'Fees &amp; Postage Table'!B:B, 0))</f>
        <v/>
      </c>
      <c r="G428">
        <f>IF(ISBLANK(A428), "", XLOOKUP(C428, 'Fees &amp; Postage Table'!A:A, 'Fees &amp; Postage Table'!D:D, 0))</f>
        <v/>
      </c>
      <c r="H428">
        <f>IF(ISBLANK(A428), "", B428 - E428 - F428 - G428)</f>
        <v/>
      </c>
      <c r="I428">
        <f>IF(ISBLANK(A428), "", D428 - XLOOKUP(A428, Inventory!A:A, Inventory!H:H, TODAY()))</f>
        <v/>
      </c>
    </row>
    <row r="429">
      <c r="E429">
        <f>IF(ISBLANK(A429), "", XLOOKUP(A429, Inventory!A:A, Inventory!E:E, 0))</f>
        <v/>
      </c>
      <c r="F429">
        <f>IF(ISBLANK(A429), "", (B429 * XLOOKUP(C429, 'Fees &amp; Postage Table'!A:A, 'Fees &amp; Postage Table'!C:C, 0)) + XLOOKUP(C429, 'Fees &amp; Postage Table'!A:A, 'Fees &amp; Postage Table'!B:B, 0))</f>
        <v/>
      </c>
      <c r="G429">
        <f>IF(ISBLANK(A429), "", XLOOKUP(C429, 'Fees &amp; Postage Table'!A:A, 'Fees &amp; Postage Table'!D:D, 0))</f>
        <v/>
      </c>
      <c r="H429">
        <f>IF(ISBLANK(A429), "", B429 - E429 - F429 - G429)</f>
        <v/>
      </c>
      <c r="I429">
        <f>IF(ISBLANK(A429), "", D429 - XLOOKUP(A429, Inventory!A:A, Inventory!H:H, TODAY()))</f>
        <v/>
      </c>
    </row>
    <row r="430">
      <c r="E430">
        <f>IF(ISBLANK(A430), "", XLOOKUP(A430, Inventory!A:A, Inventory!E:E, 0))</f>
        <v/>
      </c>
      <c r="F430">
        <f>IF(ISBLANK(A430), "", (B430 * XLOOKUP(C430, 'Fees &amp; Postage Table'!A:A, 'Fees &amp; Postage Table'!C:C, 0)) + XLOOKUP(C430, 'Fees &amp; Postage Table'!A:A, 'Fees &amp; Postage Table'!B:B, 0))</f>
        <v/>
      </c>
      <c r="G430">
        <f>IF(ISBLANK(A430), "", XLOOKUP(C430, 'Fees &amp; Postage Table'!A:A, 'Fees &amp; Postage Table'!D:D, 0))</f>
        <v/>
      </c>
      <c r="H430">
        <f>IF(ISBLANK(A430), "", B430 - E430 - F430 - G430)</f>
        <v/>
      </c>
      <c r="I430">
        <f>IF(ISBLANK(A430), "", D430 - XLOOKUP(A430, Inventory!A:A, Inventory!H:H, TODAY()))</f>
        <v/>
      </c>
    </row>
    <row r="431">
      <c r="E431">
        <f>IF(ISBLANK(A431), "", XLOOKUP(A431, Inventory!A:A, Inventory!E:E, 0))</f>
        <v/>
      </c>
      <c r="F431">
        <f>IF(ISBLANK(A431), "", (B431 * XLOOKUP(C431, 'Fees &amp; Postage Table'!A:A, 'Fees &amp; Postage Table'!C:C, 0)) + XLOOKUP(C431, 'Fees &amp; Postage Table'!A:A, 'Fees &amp; Postage Table'!B:B, 0))</f>
        <v/>
      </c>
      <c r="G431">
        <f>IF(ISBLANK(A431), "", XLOOKUP(C431, 'Fees &amp; Postage Table'!A:A, 'Fees &amp; Postage Table'!D:D, 0))</f>
        <v/>
      </c>
      <c r="H431">
        <f>IF(ISBLANK(A431), "", B431 - E431 - F431 - G431)</f>
        <v/>
      </c>
      <c r="I431">
        <f>IF(ISBLANK(A431), "", D431 - XLOOKUP(A431, Inventory!A:A, Inventory!H:H, TODAY()))</f>
        <v/>
      </c>
    </row>
    <row r="432">
      <c r="E432">
        <f>IF(ISBLANK(A432), "", XLOOKUP(A432, Inventory!A:A, Inventory!E:E, 0))</f>
        <v/>
      </c>
      <c r="F432">
        <f>IF(ISBLANK(A432), "", (B432 * XLOOKUP(C432, 'Fees &amp; Postage Table'!A:A, 'Fees &amp; Postage Table'!C:C, 0)) + XLOOKUP(C432, 'Fees &amp; Postage Table'!A:A, 'Fees &amp; Postage Table'!B:B, 0))</f>
        <v/>
      </c>
      <c r="G432">
        <f>IF(ISBLANK(A432), "", XLOOKUP(C432, 'Fees &amp; Postage Table'!A:A, 'Fees &amp; Postage Table'!D:D, 0))</f>
        <v/>
      </c>
      <c r="H432">
        <f>IF(ISBLANK(A432), "", B432 - E432 - F432 - G432)</f>
        <v/>
      </c>
      <c r="I432">
        <f>IF(ISBLANK(A432), "", D432 - XLOOKUP(A432, Inventory!A:A, Inventory!H:H, TODAY()))</f>
        <v/>
      </c>
    </row>
    <row r="433">
      <c r="E433">
        <f>IF(ISBLANK(A433), "", XLOOKUP(A433, Inventory!A:A, Inventory!E:E, 0))</f>
        <v/>
      </c>
      <c r="F433">
        <f>IF(ISBLANK(A433), "", (B433 * XLOOKUP(C433, 'Fees &amp; Postage Table'!A:A, 'Fees &amp; Postage Table'!C:C, 0)) + XLOOKUP(C433, 'Fees &amp; Postage Table'!A:A, 'Fees &amp; Postage Table'!B:B, 0))</f>
        <v/>
      </c>
      <c r="G433">
        <f>IF(ISBLANK(A433), "", XLOOKUP(C433, 'Fees &amp; Postage Table'!A:A, 'Fees &amp; Postage Table'!D:D, 0))</f>
        <v/>
      </c>
      <c r="H433">
        <f>IF(ISBLANK(A433), "", B433 - E433 - F433 - G433)</f>
        <v/>
      </c>
      <c r="I433">
        <f>IF(ISBLANK(A433), "", D433 - XLOOKUP(A433, Inventory!A:A, Inventory!H:H, TODAY()))</f>
        <v/>
      </c>
    </row>
    <row r="434">
      <c r="E434">
        <f>IF(ISBLANK(A434), "", XLOOKUP(A434, Inventory!A:A, Inventory!E:E, 0))</f>
        <v/>
      </c>
      <c r="F434">
        <f>IF(ISBLANK(A434), "", (B434 * XLOOKUP(C434, 'Fees &amp; Postage Table'!A:A, 'Fees &amp; Postage Table'!C:C, 0)) + XLOOKUP(C434, 'Fees &amp; Postage Table'!A:A, 'Fees &amp; Postage Table'!B:B, 0))</f>
        <v/>
      </c>
      <c r="G434">
        <f>IF(ISBLANK(A434), "", XLOOKUP(C434, 'Fees &amp; Postage Table'!A:A, 'Fees &amp; Postage Table'!D:D, 0))</f>
        <v/>
      </c>
      <c r="H434">
        <f>IF(ISBLANK(A434), "", B434 - E434 - F434 - G434)</f>
        <v/>
      </c>
      <c r="I434">
        <f>IF(ISBLANK(A434), "", D434 - XLOOKUP(A434, Inventory!A:A, Inventory!H:H, TODAY()))</f>
        <v/>
      </c>
    </row>
    <row r="435">
      <c r="E435">
        <f>IF(ISBLANK(A435), "", XLOOKUP(A435, Inventory!A:A, Inventory!E:E, 0))</f>
        <v/>
      </c>
      <c r="F435">
        <f>IF(ISBLANK(A435), "", (B435 * XLOOKUP(C435, 'Fees &amp; Postage Table'!A:A, 'Fees &amp; Postage Table'!C:C, 0)) + XLOOKUP(C435, 'Fees &amp; Postage Table'!A:A, 'Fees &amp; Postage Table'!B:B, 0))</f>
        <v/>
      </c>
      <c r="G435">
        <f>IF(ISBLANK(A435), "", XLOOKUP(C435, 'Fees &amp; Postage Table'!A:A, 'Fees &amp; Postage Table'!D:D, 0))</f>
        <v/>
      </c>
      <c r="H435">
        <f>IF(ISBLANK(A435), "", B435 - E435 - F435 - G435)</f>
        <v/>
      </c>
      <c r="I435">
        <f>IF(ISBLANK(A435), "", D435 - XLOOKUP(A435, Inventory!A:A, Inventory!H:H, TODAY()))</f>
        <v/>
      </c>
    </row>
    <row r="436">
      <c r="E436">
        <f>IF(ISBLANK(A436), "", XLOOKUP(A436, Inventory!A:A, Inventory!E:E, 0))</f>
        <v/>
      </c>
      <c r="F436">
        <f>IF(ISBLANK(A436), "", (B436 * XLOOKUP(C436, 'Fees &amp; Postage Table'!A:A, 'Fees &amp; Postage Table'!C:C, 0)) + XLOOKUP(C436, 'Fees &amp; Postage Table'!A:A, 'Fees &amp; Postage Table'!B:B, 0))</f>
        <v/>
      </c>
      <c r="G436">
        <f>IF(ISBLANK(A436), "", XLOOKUP(C436, 'Fees &amp; Postage Table'!A:A, 'Fees &amp; Postage Table'!D:D, 0))</f>
        <v/>
      </c>
      <c r="H436">
        <f>IF(ISBLANK(A436), "", B436 - E436 - F436 - G436)</f>
        <v/>
      </c>
      <c r="I436">
        <f>IF(ISBLANK(A436), "", D436 - XLOOKUP(A436, Inventory!A:A, Inventory!H:H, TODAY()))</f>
        <v/>
      </c>
    </row>
    <row r="437">
      <c r="E437">
        <f>IF(ISBLANK(A437), "", XLOOKUP(A437, Inventory!A:A, Inventory!E:E, 0))</f>
        <v/>
      </c>
      <c r="F437">
        <f>IF(ISBLANK(A437), "", (B437 * XLOOKUP(C437, 'Fees &amp; Postage Table'!A:A, 'Fees &amp; Postage Table'!C:C, 0)) + XLOOKUP(C437, 'Fees &amp; Postage Table'!A:A, 'Fees &amp; Postage Table'!B:B, 0))</f>
        <v/>
      </c>
      <c r="G437">
        <f>IF(ISBLANK(A437), "", XLOOKUP(C437, 'Fees &amp; Postage Table'!A:A, 'Fees &amp; Postage Table'!D:D, 0))</f>
        <v/>
      </c>
      <c r="H437">
        <f>IF(ISBLANK(A437), "", B437 - E437 - F437 - G437)</f>
        <v/>
      </c>
      <c r="I437">
        <f>IF(ISBLANK(A437), "", D437 - XLOOKUP(A437, Inventory!A:A, Inventory!H:H, TODAY()))</f>
        <v/>
      </c>
    </row>
    <row r="438">
      <c r="E438">
        <f>IF(ISBLANK(A438), "", XLOOKUP(A438, Inventory!A:A, Inventory!E:E, 0))</f>
        <v/>
      </c>
      <c r="F438">
        <f>IF(ISBLANK(A438), "", (B438 * XLOOKUP(C438, 'Fees &amp; Postage Table'!A:A, 'Fees &amp; Postage Table'!C:C, 0)) + XLOOKUP(C438, 'Fees &amp; Postage Table'!A:A, 'Fees &amp; Postage Table'!B:B, 0))</f>
        <v/>
      </c>
      <c r="G438">
        <f>IF(ISBLANK(A438), "", XLOOKUP(C438, 'Fees &amp; Postage Table'!A:A, 'Fees &amp; Postage Table'!D:D, 0))</f>
        <v/>
      </c>
      <c r="H438">
        <f>IF(ISBLANK(A438), "", B438 - E438 - F438 - G438)</f>
        <v/>
      </c>
      <c r="I438">
        <f>IF(ISBLANK(A438), "", D438 - XLOOKUP(A438, Inventory!A:A, Inventory!H:H, TODAY()))</f>
        <v/>
      </c>
    </row>
    <row r="439">
      <c r="E439">
        <f>IF(ISBLANK(A439), "", XLOOKUP(A439, Inventory!A:A, Inventory!E:E, 0))</f>
        <v/>
      </c>
      <c r="F439">
        <f>IF(ISBLANK(A439), "", (B439 * XLOOKUP(C439, 'Fees &amp; Postage Table'!A:A, 'Fees &amp; Postage Table'!C:C, 0)) + XLOOKUP(C439, 'Fees &amp; Postage Table'!A:A, 'Fees &amp; Postage Table'!B:B, 0))</f>
        <v/>
      </c>
      <c r="G439">
        <f>IF(ISBLANK(A439), "", XLOOKUP(C439, 'Fees &amp; Postage Table'!A:A, 'Fees &amp; Postage Table'!D:D, 0))</f>
        <v/>
      </c>
      <c r="H439">
        <f>IF(ISBLANK(A439), "", B439 - E439 - F439 - G439)</f>
        <v/>
      </c>
      <c r="I439">
        <f>IF(ISBLANK(A439), "", D439 - XLOOKUP(A439, Inventory!A:A, Inventory!H:H, TODAY()))</f>
        <v/>
      </c>
    </row>
    <row r="440">
      <c r="E440">
        <f>IF(ISBLANK(A440), "", XLOOKUP(A440, Inventory!A:A, Inventory!E:E, 0))</f>
        <v/>
      </c>
      <c r="F440">
        <f>IF(ISBLANK(A440), "", (B440 * XLOOKUP(C440, 'Fees &amp; Postage Table'!A:A, 'Fees &amp; Postage Table'!C:C, 0)) + XLOOKUP(C440, 'Fees &amp; Postage Table'!A:A, 'Fees &amp; Postage Table'!B:B, 0))</f>
        <v/>
      </c>
      <c r="G440">
        <f>IF(ISBLANK(A440), "", XLOOKUP(C440, 'Fees &amp; Postage Table'!A:A, 'Fees &amp; Postage Table'!D:D, 0))</f>
        <v/>
      </c>
      <c r="H440">
        <f>IF(ISBLANK(A440), "", B440 - E440 - F440 - G440)</f>
        <v/>
      </c>
      <c r="I440">
        <f>IF(ISBLANK(A440), "", D440 - XLOOKUP(A440, Inventory!A:A, Inventory!H:H, TODAY()))</f>
        <v/>
      </c>
    </row>
    <row r="441">
      <c r="E441">
        <f>IF(ISBLANK(A441), "", XLOOKUP(A441, Inventory!A:A, Inventory!E:E, 0))</f>
        <v/>
      </c>
      <c r="F441">
        <f>IF(ISBLANK(A441), "", (B441 * XLOOKUP(C441, 'Fees &amp; Postage Table'!A:A, 'Fees &amp; Postage Table'!C:C, 0)) + XLOOKUP(C441, 'Fees &amp; Postage Table'!A:A, 'Fees &amp; Postage Table'!B:B, 0))</f>
        <v/>
      </c>
      <c r="G441">
        <f>IF(ISBLANK(A441), "", XLOOKUP(C441, 'Fees &amp; Postage Table'!A:A, 'Fees &amp; Postage Table'!D:D, 0))</f>
        <v/>
      </c>
      <c r="H441">
        <f>IF(ISBLANK(A441), "", B441 - E441 - F441 - G441)</f>
        <v/>
      </c>
      <c r="I441">
        <f>IF(ISBLANK(A441), "", D441 - XLOOKUP(A441, Inventory!A:A, Inventory!H:H, TODAY()))</f>
        <v/>
      </c>
    </row>
    <row r="442">
      <c r="E442">
        <f>IF(ISBLANK(A442), "", XLOOKUP(A442, Inventory!A:A, Inventory!E:E, 0))</f>
        <v/>
      </c>
      <c r="F442">
        <f>IF(ISBLANK(A442), "", (B442 * XLOOKUP(C442, 'Fees &amp; Postage Table'!A:A, 'Fees &amp; Postage Table'!C:C, 0)) + XLOOKUP(C442, 'Fees &amp; Postage Table'!A:A, 'Fees &amp; Postage Table'!B:B, 0))</f>
        <v/>
      </c>
      <c r="G442">
        <f>IF(ISBLANK(A442), "", XLOOKUP(C442, 'Fees &amp; Postage Table'!A:A, 'Fees &amp; Postage Table'!D:D, 0))</f>
        <v/>
      </c>
      <c r="H442">
        <f>IF(ISBLANK(A442), "", B442 - E442 - F442 - G442)</f>
        <v/>
      </c>
      <c r="I442">
        <f>IF(ISBLANK(A442), "", D442 - XLOOKUP(A442, Inventory!A:A, Inventory!H:H, TODAY()))</f>
        <v/>
      </c>
    </row>
    <row r="443">
      <c r="E443">
        <f>IF(ISBLANK(A443), "", XLOOKUP(A443, Inventory!A:A, Inventory!E:E, 0))</f>
        <v/>
      </c>
      <c r="F443">
        <f>IF(ISBLANK(A443), "", (B443 * XLOOKUP(C443, 'Fees &amp; Postage Table'!A:A, 'Fees &amp; Postage Table'!C:C, 0)) + XLOOKUP(C443, 'Fees &amp; Postage Table'!A:A, 'Fees &amp; Postage Table'!B:B, 0))</f>
        <v/>
      </c>
      <c r="G443">
        <f>IF(ISBLANK(A443), "", XLOOKUP(C443, 'Fees &amp; Postage Table'!A:A, 'Fees &amp; Postage Table'!D:D, 0))</f>
        <v/>
      </c>
      <c r="H443">
        <f>IF(ISBLANK(A443), "", B443 - E443 - F443 - G443)</f>
        <v/>
      </c>
      <c r="I443">
        <f>IF(ISBLANK(A443), "", D443 - XLOOKUP(A443, Inventory!A:A, Inventory!H:H, TODAY()))</f>
        <v/>
      </c>
    </row>
    <row r="444">
      <c r="E444">
        <f>IF(ISBLANK(A444), "", XLOOKUP(A444, Inventory!A:A, Inventory!E:E, 0))</f>
        <v/>
      </c>
      <c r="F444">
        <f>IF(ISBLANK(A444), "", (B444 * XLOOKUP(C444, 'Fees &amp; Postage Table'!A:A, 'Fees &amp; Postage Table'!C:C, 0)) + XLOOKUP(C444, 'Fees &amp; Postage Table'!A:A, 'Fees &amp; Postage Table'!B:B, 0))</f>
        <v/>
      </c>
      <c r="G444">
        <f>IF(ISBLANK(A444), "", XLOOKUP(C444, 'Fees &amp; Postage Table'!A:A, 'Fees &amp; Postage Table'!D:D, 0))</f>
        <v/>
      </c>
      <c r="H444">
        <f>IF(ISBLANK(A444), "", B444 - E444 - F444 - G444)</f>
        <v/>
      </c>
      <c r="I444">
        <f>IF(ISBLANK(A444), "", D444 - XLOOKUP(A444, Inventory!A:A, Inventory!H:H, TODAY()))</f>
        <v/>
      </c>
    </row>
    <row r="445">
      <c r="E445">
        <f>IF(ISBLANK(A445), "", XLOOKUP(A445, Inventory!A:A, Inventory!E:E, 0))</f>
        <v/>
      </c>
      <c r="F445">
        <f>IF(ISBLANK(A445), "", (B445 * XLOOKUP(C445, 'Fees &amp; Postage Table'!A:A, 'Fees &amp; Postage Table'!C:C, 0)) + XLOOKUP(C445, 'Fees &amp; Postage Table'!A:A, 'Fees &amp; Postage Table'!B:B, 0))</f>
        <v/>
      </c>
      <c r="G445">
        <f>IF(ISBLANK(A445), "", XLOOKUP(C445, 'Fees &amp; Postage Table'!A:A, 'Fees &amp; Postage Table'!D:D, 0))</f>
        <v/>
      </c>
      <c r="H445">
        <f>IF(ISBLANK(A445), "", B445 - E445 - F445 - G445)</f>
        <v/>
      </c>
      <c r="I445">
        <f>IF(ISBLANK(A445), "", D445 - XLOOKUP(A445, Inventory!A:A, Inventory!H:H, TODAY()))</f>
        <v/>
      </c>
    </row>
    <row r="446">
      <c r="E446">
        <f>IF(ISBLANK(A446), "", XLOOKUP(A446, Inventory!A:A, Inventory!E:E, 0))</f>
        <v/>
      </c>
      <c r="F446">
        <f>IF(ISBLANK(A446), "", (B446 * XLOOKUP(C446, 'Fees &amp; Postage Table'!A:A, 'Fees &amp; Postage Table'!C:C, 0)) + XLOOKUP(C446, 'Fees &amp; Postage Table'!A:A, 'Fees &amp; Postage Table'!B:B, 0))</f>
        <v/>
      </c>
      <c r="G446">
        <f>IF(ISBLANK(A446), "", XLOOKUP(C446, 'Fees &amp; Postage Table'!A:A, 'Fees &amp; Postage Table'!D:D, 0))</f>
        <v/>
      </c>
      <c r="H446">
        <f>IF(ISBLANK(A446), "", B446 - E446 - F446 - G446)</f>
        <v/>
      </c>
      <c r="I446">
        <f>IF(ISBLANK(A446), "", D446 - XLOOKUP(A446, Inventory!A:A, Inventory!H:H, TODAY()))</f>
        <v/>
      </c>
    </row>
    <row r="447">
      <c r="E447">
        <f>IF(ISBLANK(A447), "", XLOOKUP(A447, Inventory!A:A, Inventory!E:E, 0))</f>
        <v/>
      </c>
      <c r="F447">
        <f>IF(ISBLANK(A447), "", (B447 * XLOOKUP(C447, 'Fees &amp; Postage Table'!A:A, 'Fees &amp; Postage Table'!C:C, 0)) + XLOOKUP(C447, 'Fees &amp; Postage Table'!A:A, 'Fees &amp; Postage Table'!B:B, 0))</f>
        <v/>
      </c>
      <c r="G447">
        <f>IF(ISBLANK(A447), "", XLOOKUP(C447, 'Fees &amp; Postage Table'!A:A, 'Fees &amp; Postage Table'!D:D, 0))</f>
        <v/>
      </c>
      <c r="H447">
        <f>IF(ISBLANK(A447), "", B447 - E447 - F447 - G447)</f>
        <v/>
      </c>
      <c r="I447">
        <f>IF(ISBLANK(A447), "", D447 - XLOOKUP(A447, Inventory!A:A, Inventory!H:H, TODAY()))</f>
        <v/>
      </c>
    </row>
    <row r="448">
      <c r="E448">
        <f>IF(ISBLANK(A448), "", XLOOKUP(A448, Inventory!A:A, Inventory!E:E, 0))</f>
        <v/>
      </c>
      <c r="F448">
        <f>IF(ISBLANK(A448), "", (B448 * XLOOKUP(C448, 'Fees &amp; Postage Table'!A:A, 'Fees &amp; Postage Table'!C:C, 0)) + XLOOKUP(C448, 'Fees &amp; Postage Table'!A:A, 'Fees &amp; Postage Table'!B:B, 0))</f>
        <v/>
      </c>
      <c r="G448">
        <f>IF(ISBLANK(A448), "", XLOOKUP(C448, 'Fees &amp; Postage Table'!A:A, 'Fees &amp; Postage Table'!D:D, 0))</f>
        <v/>
      </c>
      <c r="H448">
        <f>IF(ISBLANK(A448), "", B448 - E448 - F448 - G448)</f>
        <v/>
      </c>
      <c r="I448">
        <f>IF(ISBLANK(A448), "", D448 - XLOOKUP(A448, Inventory!A:A, Inventory!H:H, TODAY()))</f>
        <v/>
      </c>
    </row>
    <row r="449">
      <c r="E449">
        <f>IF(ISBLANK(A449), "", XLOOKUP(A449, Inventory!A:A, Inventory!E:E, 0))</f>
        <v/>
      </c>
      <c r="F449">
        <f>IF(ISBLANK(A449), "", (B449 * XLOOKUP(C449, 'Fees &amp; Postage Table'!A:A, 'Fees &amp; Postage Table'!C:C, 0)) + XLOOKUP(C449, 'Fees &amp; Postage Table'!A:A, 'Fees &amp; Postage Table'!B:B, 0))</f>
        <v/>
      </c>
      <c r="G449">
        <f>IF(ISBLANK(A449), "", XLOOKUP(C449, 'Fees &amp; Postage Table'!A:A, 'Fees &amp; Postage Table'!D:D, 0))</f>
        <v/>
      </c>
      <c r="H449">
        <f>IF(ISBLANK(A449), "", B449 - E449 - F449 - G449)</f>
        <v/>
      </c>
      <c r="I449">
        <f>IF(ISBLANK(A449), "", D449 - XLOOKUP(A449, Inventory!A:A, Inventory!H:H, TODAY()))</f>
        <v/>
      </c>
    </row>
    <row r="450">
      <c r="E450">
        <f>IF(ISBLANK(A450), "", XLOOKUP(A450, Inventory!A:A, Inventory!E:E, 0))</f>
        <v/>
      </c>
      <c r="F450">
        <f>IF(ISBLANK(A450), "", (B450 * XLOOKUP(C450, 'Fees &amp; Postage Table'!A:A, 'Fees &amp; Postage Table'!C:C, 0)) + XLOOKUP(C450, 'Fees &amp; Postage Table'!A:A, 'Fees &amp; Postage Table'!B:B, 0))</f>
        <v/>
      </c>
      <c r="G450">
        <f>IF(ISBLANK(A450), "", XLOOKUP(C450, 'Fees &amp; Postage Table'!A:A, 'Fees &amp; Postage Table'!D:D, 0))</f>
        <v/>
      </c>
      <c r="H450">
        <f>IF(ISBLANK(A450), "", B450 - E450 - F450 - G450)</f>
        <v/>
      </c>
      <c r="I450">
        <f>IF(ISBLANK(A450), "", D450 - XLOOKUP(A450, Inventory!A:A, Inventory!H:H, TODAY()))</f>
        <v/>
      </c>
    </row>
    <row r="451">
      <c r="E451">
        <f>IF(ISBLANK(A451), "", XLOOKUP(A451, Inventory!A:A, Inventory!E:E, 0))</f>
        <v/>
      </c>
      <c r="F451">
        <f>IF(ISBLANK(A451), "", (B451 * XLOOKUP(C451, 'Fees &amp; Postage Table'!A:A, 'Fees &amp; Postage Table'!C:C, 0)) + XLOOKUP(C451, 'Fees &amp; Postage Table'!A:A, 'Fees &amp; Postage Table'!B:B, 0))</f>
        <v/>
      </c>
      <c r="G451">
        <f>IF(ISBLANK(A451), "", XLOOKUP(C451, 'Fees &amp; Postage Table'!A:A, 'Fees &amp; Postage Table'!D:D, 0))</f>
        <v/>
      </c>
      <c r="H451">
        <f>IF(ISBLANK(A451), "", B451 - E451 - F451 - G451)</f>
        <v/>
      </c>
      <c r="I451">
        <f>IF(ISBLANK(A451), "", D451 - XLOOKUP(A451, Inventory!A:A, Inventory!H:H, TODAY()))</f>
        <v/>
      </c>
    </row>
    <row r="452">
      <c r="E452">
        <f>IF(ISBLANK(A452), "", XLOOKUP(A452, Inventory!A:A, Inventory!E:E, 0))</f>
        <v/>
      </c>
      <c r="F452">
        <f>IF(ISBLANK(A452), "", (B452 * XLOOKUP(C452, 'Fees &amp; Postage Table'!A:A, 'Fees &amp; Postage Table'!C:C, 0)) + XLOOKUP(C452, 'Fees &amp; Postage Table'!A:A, 'Fees &amp; Postage Table'!B:B, 0))</f>
        <v/>
      </c>
      <c r="G452">
        <f>IF(ISBLANK(A452), "", XLOOKUP(C452, 'Fees &amp; Postage Table'!A:A, 'Fees &amp; Postage Table'!D:D, 0))</f>
        <v/>
      </c>
      <c r="H452">
        <f>IF(ISBLANK(A452), "", B452 - E452 - F452 - G452)</f>
        <v/>
      </c>
      <c r="I452">
        <f>IF(ISBLANK(A452), "", D452 - XLOOKUP(A452, Inventory!A:A, Inventory!H:H, TODAY()))</f>
        <v/>
      </c>
    </row>
    <row r="453">
      <c r="E453">
        <f>IF(ISBLANK(A453), "", XLOOKUP(A453, Inventory!A:A, Inventory!E:E, 0))</f>
        <v/>
      </c>
      <c r="F453">
        <f>IF(ISBLANK(A453), "", (B453 * XLOOKUP(C453, 'Fees &amp; Postage Table'!A:A, 'Fees &amp; Postage Table'!C:C, 0)) + XLOOKUP(C453, 'Fees &amp; Postage Table'!A:A, 'Fees &amp; Postage Table'!B:B, 0))</f>
        <v/>
      </c>
      <c r="G453">
        <f>IF(ISBLANK(A453), "", XLOOKUP(C453, 'Fees &amp; Postage Table'!A:A, 'Fees &amp; Postage Table'!D:D, 0))</f>
        <v/>
      </c>
      <c r="H453">
        <f>IF(ISBLANK(A453), "", B453 - E453 - F453 - G453)</f>
        <v/>
      </c>
      <c r="I453">
        <f>IF(ISBLANK(A453), "", D453 - XLOOKUP(A453, Inventory!A:A, Inventory!H:H, TODAY()))</f>
        <v/>
      </c>
    </row>
    <row r="454">
      <c r="E454">
        <f>IF(ISBLANK(A454), "", XLOOKUP(A454, Inventory!A:A, Inventory!E:E, 0))</f>
        <v/>
      </c>
      <c r="F454">
        <f>IF(ISBLANK(A454), "", (B454 * XLOOKUP(C454, 'Fees &amp; Postage Table'!A:A, 'Fees &amp; Postage Table'!C:C, 0)) + XLOOKUP(C454, 'Fees &amp; Postage Table'!A:A, 'Fees &amp; Postage Table'!B:B, 0))</f>
        <v/>
      </c>
      <c r="G454">
        <f>IF(ISBLANK(A454), "", XLOOKUP(C454, 'Fees &amp; Postage Table'!A:A, 'Fees &amp; Postage Table'!D:D, 0))</f>
        <v/>
      </c>
      <c r="H454">
        <f>IF(ISBLANK(A454), "", B454 - E454 - F454 - G454)</f>
        <v/>
      </c>
      <c r="I454">
        <f>IF(ISBLANK(A454), "", D454 - XLOOKUP(A454, Inventory!A:A, Inventory!H:H, TODAY()))</f>
        <v/>
      </c>
    </row>
    <row r="455">
      <c r="E455">
        <f>IF(ISBLANK(A455), "", XLOOKUP(A455, Inventory!A:A, Inventory!E:E, 0))</f>
        <v/>
      </c>
      <c r="F455">
        <f>IF(ISBLANK(A455), "", (B455 * XLOOKUP(C455, 'Fees &amp; Postage Table'!A:A, 'Fees &amp; Postage Table'!C:C, 0)) + XLOOKUP(C455, 'Fees &amp; Postage Table'!A:A, 'Fees &amp; Postage Table'!B:B, 0))</f>
        <v/>
      </c>
      <c r="G455">
        <f>IF(ISBLANK(A455), "", XLOOKUP(C455, 'Fees &amp; Postage Table'!A:A, 'Fees &amp; Postage Table'!D:D, 0))</f>
        <v/>
      </c>
      <c r="H455">
        <f>IF(ISBLANK(A455), "", B455 - E455 - F455 - G455)</f>
        <v/>
      </c>
      <c r="I455">
        <f>IF(ISBLANK(A455), "", D455 - XLOOKUP(A455, Inventory!A:A, Inventory!H:H, TODAY()))</f>
        <v/>
      </c>
    </row>
    <row r="456">
      <c r="E456">
        <f>IF(ISBLANK(A456), "", XLOOKUP(A456, Inventory!A:A, Inventory!E:E, 0))</f>
        <v/>
      </c>
      <c r="F456">
        <f>IF(ISBLANK(A456), "", (B456 * XLOOKUP(C456, 'Fees &amp; Postage Table'!A:A, 'Fees &amp; Postage Table'!C:C, 0)) + XLOOKUP(C456, 'Fees &amp; Postage Table'!A:A, 'Fees &amp; Postage Table'!B:B, 0))</f>
        <v/>
      </c>
      <c r="G456">
        <f>IF(ISBLANK(A456), "", XLOOKUP(C456, 'Fees &amp; Postage Table'!A:A, 'Fees &amp; Postage Table'!D:D, 0))</f>
        <v/>
      </c>
      <c r="H456">
        <f>IF(ISBLANK(A456), "", B456 - E456 - F456 - G456)</f>
        <v/>
      </c>
      <c r="I456">
        <f>IF(ISBLANK(A456), "", D456 - XLOOKUP(A456, Inventory!A:A, Inventory!H:H, TODAY()))</f>
        <v/>
      </c>
    </row>
    <row r="457">
      <c r="E457">
        <f>IF(ISBLANK(A457), "", XLOOKUP(A457, Inventory!A:A, Inventory!E:E, 0))</f>
        <v/>
      </c>
      <c r="F457">
        <f>IF(ISBLANK(A457), "", (B457 * XLOOKUP(C457, 'Fees &amp; Postage Table'!A:A, 'Fees &amp; Postage Table'!C:C, 0)) + XLOOKUP(C457, 'Fees &amp; Postage Table'!A:A, 'Fees &amp; Postage Table'!B:B, 0))</f>
        <v/>
      </c>
      <c r="G457">
        <f>IF(ISBLANK(A457), "", XLOOKUP(C457, 'Fees &amp; Postage Table'!A:A, 'Fees &amp; Postage Table'!D:D, 0))</f>
        <v/>
      </c>
      <c r="H457">
        <f>IF(ISBLANK(A457), "", B457 - E457 - F457 - G457)</f>
        <v/>
      </c>
      <c r="I457">
        <f>IF(ISBLANK(A457), "", D457 - XLOOKUP(A457, Inventory!A:A, Inventory!H:H, TODAY()))</f>
        <v/>
      </c>
    </row>
    <row r="458">
      <c r="E458">
        <f>IF(ISBLANK(A458), "", XLOOKUP(A458, Inventory!A:A, Inventory!E:E, 0))</f>
        <v/>
      </c>
      <c r="F458">
        <f>IF(ISBLANK(A458), "", (B458 * XLOOKUP(C458, 'Fees &amp; Postage Table'!A:A, 'Fees &amp; Postage Table'!C:C, 0)) + XLOOKUP(C458, 'Fees &amp; Postage Table'!A:A, 'Fees &amp; Postage Table'!B:B, 0))</f>
        <v/>
      </c>
      <c r="G458">
        <f>IF(ISBLANK(A458), "", XLOOKUP(C458, 'Fees &amp; Postage Table'!A:A, 'Fees &amp; Postage Table'!D:D, 0))</f>
        <v/>
      </c>
      <c r="H458">
        <f>IF(ISBLANK(A458), "", B458 - E458 - F458 - G458)</f>
        <v/>
      </c>
      <c r="I458">
        <f>IF(ISBLANK(A458), "", D458 - XLOOKUP(A458, Inventory!A:A, Inventory!H:H, TODAY()))</f>
        <v/>
      </c>
    </row>
    <row r="459">
      <c r="E459">
        <f>IF(ISBLANK(A459), "", XLOOKUP(A459, Inventory!A:A, Inventory!E:E, 0))</f>
        <v/>
      </c>
      <c r="F459">
        <f>IF(ISBLANK(A459), "", (B459 * XLOOKUP(C459, 'Fees &amp; Postage Table'!A:A, 'Fees &amp; Postage Table'!C:C, 0)) + XLOOKUP(C459, 'Fees &amp; Postage Table'!A:A, 'Fees &amp; Postage Table'!B:B, 0))</f>
        <v/>
      </c>
      <c r="G459">
        <f>IF(ISBLANK(A459), "", XLOOKUP(C459, 'Fees &amp; Postage Table'!A:A, 'Fees &amp; Postage Table'!D:D, 0))</f>
        <v/>
      </c>
      <c r="H459">
        <f>IF(ISBLANK(A459), "", B459 - E459 - F459 - G459)</f>
        <v/>
      </c>
      <c r="I459">
        <f>IF(ISBLANK(A459), "", D459 - XLOOKUP(A459, Inventory!A:A, Inventory!H:H, TODAY()))</f>
        <v/>
      </c>
    </row>
    <row r="460">
      <c r="E460">
        <f>IF(ISBLANK(A460), "", XLOOKUP(A460, Inventory!A:A, Inventory!E:E, 0))</f>
        <v/>
      </c>
      <c r="F460">
        <f>IF(ISBLANK(A460), "", (B460 * XLOOKUP(C460, 'Fees &amp; Postage Table'!A:A, 'Fees &amp; Postage Table'!C:C, 0)) + XLOOKUP(C460, 'Fees &amp; Postage Table'!A:A, 'Fees &amp; Postage Table'!B:B, 0))</f>
        <v/>
      </c>
      <c r="G460">
        <f>IF(ISBLANK(A460), "", XLOOKUP(C460, 'Fees &amp; Postage Table'!A:A, 'Fees &amp; Postage Table'!D:D, 0))</f>
        <v/>
      </c>
      <c r="H460">
        <f>IF(ISBLANK(A460), "", B460 - E460 - F460 - G460)</f>
        <v/>
      </c>
      <c r="I460">
        <f>IF(ISBLANK(A460), "", D460 - XLOOKUP(A460, Inventory!A:A, Inventory!H:H, TODAY()))</f>
        <v/>
      </c>
    </row>
    <row r="461">
      <c r="E461">
        <f>IF(ISBLANK(A461), "", XLOOKUP(A461, Inventory!A:A, Inventory!E:E, 0))</f>
        <v/>
      </c>
      <c r="F461">
        <f>IF(ISBLANK(A461), "", (B461 * XLOOKUP(C461, 'Fees &amp; Postage Table'!A:A, 'Fees &amp; Postage Table'!C:C, 0)) + XLOOKUP(C461, 'Fees &amp; Postage Table'!A:A, 'Fees &amp; Postage Table'!B:B, 0))</f>
        <v/>
      </c>
      <c r="G461">
        <f>IF(ISBLANK(A461), "", XLOOKUP(C461, 'Fees &amp; Postage Table'!A:A, 'Fees &amp; Postage Table'!D:D, 0))</f>
        <v/>
      </c>
      <c r="H461">
        <f>IF(ISBLANK(A461), "", B461 - E461 - F461 - G461)</f>
        <v/>
      </c>
      <c r="I461">
        <f>IF(ISBLANK(A461), "", D461 - XLOOKUP(A461, Inventory!A:A, Inventory!H:H, TODAY()))</f>
        <v/>
      </c>
    </row>
    <row r="462">
      <c r="E462">
        <f>IF(ISBLANK(A462), "", XLOOKUP(A462, Inventory!A:A, Inventory!E:E, 0))</f>
        <v/>
      </c>
      <c r="F462">
        <f>IF(ISBLANK(A462), "", (B462 * XLOOKUP(C462, 'Fees &amp; Postage Table'!A:A, 'Fees &amp; Postage Table'!C:C, 0)) + XLOOKUP(C462, 'Fees &amp; Postage Table'!A:A, 'Fees &amp; Postage Table'!B:B, 0))</f>
        <v/>
      </c>
      <c r="G462">
        <f>IF(ISBLANK(A462), "", XLOOKUP(C462, 'Fees &amp; Postage Table'!A:A, 'Fees &amp; Postage Table'!D:D, 0))</f>
        <v/>
      </c>
      <c r="H462">
        <f>IF(ISBLANK(A462), "", B462 - E462 - F462 - G462)</f>
        <v/>
      </c>
      <c r="I462">
        <f>IF(ISBLANK(A462), "", D462 - XLOOKUP(A462, Inventory!A:A, Inventory!H:H, TODAY()))</f>
        <v/>
      </c>
    </row>
    <row r="463">
      <c r="E463">
        <f>IF(ISBLANK(A463), "", XLOOKUP(A463, Inventory!A:A, Inventory!E:E, 0))</f>
        <v/>
      </c>
      <c r="F463">
        <f>IF(ISBLANK(A463), "", (B463 * XLOOKUP(C463, 'Fees &amp; Postage Table'!A:A, 'Fees &amp; Postage Table'!C:C, 0)) + XLOOKUP(C463, 'Fees &amp; Postage Table'!A:A, 'Fees &amp; Postage Table'!B:B, 0))</f>
        <v/>
      </c>
      <c r="G463">
        <f>IF(ISBLANK(A463), "", XLOOKUP(C463, 'Fees &amp; Postage Table'!A:A, 'Fees &amp; Postage Table'!D:D, 0))</f>
        <v/>
      </c>
      <c r="H463">
        <f>IF(ISBLANK(A463), "", B463 - E463 - F463 - G463)</f>
        <v/>
      </c>
      <c r="I463">
        <f>IF(ISBLANK(A463), "", D463 - XLOOKUP(A463, Inventory!A:A, Inventory!H:H, TODAY()))</f>
        <v/>
      </c>
    </row>
    <row r="464">
      <c r="E464">
        <f>IF(ISBLANK(A464), "", XLOOKUP(A464, Inventory!A:A, Inventory!E:E, 0))</f>
        <v/>
      </c>
      <c r="F464">
        <f>IF(ISBLANK(A464), "", (B464 * XLOOKUP(C464, 'Fees &amp; Postage Table'!A:A, 'Fees &amp; Postage Table'!C:C, 0)) + XLOOKUP(C464, 'Fees &amp; Postage Table'!A:A, 'Fees &amp; Postage Table'!B:B, 0))</f>
        <v/>
      </c>
      <c r="G464">
        <f>IF(ISBLANK(A464), "", XLOOKUP(C464, 'Fees &amp; Postage Table'!A:A, 'Fees &amp; Postage Table'!D:D, 0))</f>
        <v/>
      </c>
      <c r="H464">
        <f>IF(ISBLANK(A464), "", B464 - E464 - F464 - G464)</f>
        <v/>
      </c>
      <c r="I464">
        <f>IF(ISBLANK(A464), "", D464 - XLOOKUP(A464, Inventory!A:A, Inventory!H:H, TODAY()))</f>
        <v/>
      </c>
    </row>
    <row r="465">
      <c r="E465">
        <f>IF(ISBLANK(A465), "", XLOOKUP(A465, Inventory!A:A, Inventory!E:E, 0))</f>
        <v/>
      </c>
      <c r="F465">
        <f>IF(ISBLANK(A465), "", (B465 * XLOOKUP(C465, 'Fees &amp; Postage Table'!A:A, 'Fees &amp; Postage Table'!C:C, 0)) + XLOOKUP(C465, 'Fees &amp; Postage Table'!A:A, 'Fees &amp; Postage Table'!B:B, 0))</f>
        <v/>
      </c>
      <c r="G465">
        <f>IF(ISBLANK(A465), "", XLOOKUP(C465, 'Fees &amp; Postage Table'!A:A, 'Fees &amp; Postage Table'!D:D, 0))</f>
        <v/>
      </c>
      <c r="H465">
        <f>IF(ISBLANK(A465), "", B465 - E465 - F465 - G465)</f>
        <v/>
      </c>
      <c r="I465">
        <f>IF(ISBLANK(A465), "", D465 - XLOOKUP(A465, Inventory!A:A, Inventory!H:H, TODAY()))</f>
        <v/>
      </c>
    </row>
    <row r="466">
      <c r="E466">
        <f>IF(ISBLANK(A466), "", XLOOKUP(A466, Inventory!A:A, Inventory!E:E, 0))</f>
        <v/>
      </c>
      <c r="F466">
        <f>IF(ISBLANK(A466), "", (B466 * XLOOKUP(C466, 'Fees &amp; Postage Table'!A:A, 'Fees &amp; Postage Table'!C:C, 0)) + XLOOKUP(C466, 'Fees &amp; Postage Table'!A:A, 'Fees &amp; Postage Table'!B:B, 0))</f>
        <v/>
      </c>
      <c r="G466">
        <f>IF(ISBLANK(A466), "", XLOOKUP(C466, 'Fees &amp; Postage Table'!A:A, 'Fees &amp; Postage Table'!D:D, 0))</f>
        <v/>
      </c>
      <c r="H466">
        <f>IF(ISBLANK(A466), "", B466 - E466 - F466 - G466)</f>
        <v/>
      </c>
      <c r="I466">
        <f>IF(ISBLANK(A466), "", D466 - XLOOKUP(A466, Inventory!A:A, Inventory!H:H, TODAY()))</f>
        <v/>
      </c>
    </row>
    <row r="467">
      <c r="E467">
        <f>IF(ISBLANK(A467), "", XLOOKUP(A467, Inventory!A:A, Inventory!E:E, 0))</f>
        <v/>
      </c>
      <c r="F467">
        <f>IF(ISBLANK(A467), "", (B467 * XLOOKUP(C467, 'Fees &amp; Postage Table'!A:A, 'Fees &amp; Postage Table'!C:C, 0)) + XLOOKUP(C467, 'Fees &amp; Postage Table'!A:A, 'Fees &amp; Postage Table'!B:B, 0))</f>
        <v/>
      </c>
      <c r="G467">
        <f>IF(ISBLANK(A467), "", XLOOKUP(C467, 'Fees &amp; Postage Table'!A:A, 'Fees &amp; Postage Table'!D:D, 0))</f>
        <v/>
      </c>
      <c r="H467">
        <f>IF(ISBLANK(A467), "", B467 - E467 - F467 - G467)</f>
        <v/>
      </c>
      <c r="I467">
        <f>IF(ISBLANK(A467), "", D467 - XLOOKUP(A467, Inventory!A:A, Inventory!H:H, TODAY()))</f>
        <v/>
      </c>
    </row>
    <row r="468">
      <c r="E468">
        <f>IF(ISBLANK(A468), "", XLOOKUP(A468, Inventory!A:A, Inventory!E:E, 0))</f>
        <v/>
      </c>
      <c r="F468">
        <f>IF(ISBLANK(A468), "", (B468 * XLOOKUP(C468, 'Fees &amp; Postage Table'!A:A, 'Fees &amp; Postage Table'!C:C, 0)) + XLOOKUP(C468, 'Fees &amp; Postage Table'!A:A, 'Fees &amp; Postage Table'!B:B, 0))</f>
        <v/>
      </c>
      <c r="G468">
        <f>IF(ISBLANK(A468), "", XLOOKUP(C468, 'Fees &amp; Postage Table'!A:A, 'Fees &amp; Postage Table'!D:D, 0))</f>
        <v/>
      </c>
      <c r="H468">
        <f>IF(ISBLANK(A468), "", B468 - E468 - F468 - G468)</f>
        <v/>
      </c>
      <c r="I468">
        <f>IF(ISBLANK(A468), "", D468 - XLOOKUP(A468, Inventory!A:A, Inventory!H:H, TODAY()))</f>
        <v/>
      </c>
    </row>
    <row r="469">
      <c r="E469">
        <f>IF(ISBLANK(A469), "", XLOOKUP(A469, Inventory!A:A, Inventory!E:E, 0))</f>
        <v/>
      </c>
      <c r="F469">
        <f>IF(ISBLANK(A469), "", (B469 * XLOOKUP(C469, 'Fees &amp; Postage Table'!A:A, 'Fees &amp; Postage Table'!C:C, 0)) + XLOOKUP(C469, 'Fees &amp; Postage Table'!A:A, 'Fees &amp; Postage Table'!B:B, 0))</f>
        <v/>
      </c>
      <c r="G469">
        <f>IF(ISBLANK(A469), "", XLOOKUP(C469, 'Fees &amp; Postage Table'!A:A, 'Fees &amp; Postage Table'!D:D, 0))</f>
        <v/>
      </c>
      <c r="H469">
        <f>IF(ISBLANK(A469), "", B469 - E469 - F469 - G469)</f>
        <v/>
      </c>
      <c r="I469">
        <f>IF(ISBLANK(A469), "", D469 - XLOOKUP(A469, Inventory!A:A, Inventory!H:H, TODAY()))</f>
        <v/>
      </c>
    </row>
    <row r="470">
      <c r="E470">
        <f>IF(ISBLANK(A470), "", XLOOKUP(A470, Inventory!A:A, Inventory!E:E, 0))</f>
        <v/>
      </c>
      <c r="F470">
        <f>IF(ISBLANK(A470), "", (B470 * XLOOKUP(C470, 'Fees &amp; Postage Table'!A:A, 'Fees &amp; Postage Table'!C:C, 0)) + XLOOKUP(C470, 'Fees &amp; Postage Table'!A:A, 'Fees &amp; Postage Table'!B:B, 0))</f>
        <v/>
      </c>
      <c r="G470">
        <f>IF(ISBLANK(A470), "", XLOOKUP(C470, 'Fees &amp; Postage Table'!A:A, 'Fees &amp; Postage Table'!D:D, 0))</f>
        <v/>
      </c>
      <c r="H470">
        <f>IF(ISBLANK(A470), "", B470 - E470 - F470 - G470)</f>
        <v/>
      </c>
      <c r="I470">
        <f>IF(ISBLANK(A470), "", D470 - XLOOKUP(A470, Inventory!A:A, Inventory!H:H, TODAY()))</f>
        <v/>
      </c>
    </row>
    <row r="471">
      <c r="E471">
        <f>IF(ISBLANK(A471), "", XLOOKUP(A471, Inventory!A:A, Inventory!E:E, 0))</f>
        <v/>
      </c>
      <c r="F471">
        <f>IF(ISBLANK(A471), "", (B471 * XLOOKUP(C471, 'Fees &amp; Postage Table'!A:A, 'Fees &amp; Postage Table'!C:C, 0)) + XLOOKUP(C471, 'Fees &amp; Postage Table'!A:A, 'Fees &amp; Postage Table'!B:B, 0))</f>
        <v/>
      </c>
      <c r="G471">
        <f>IF(ISBLANK(A471), "", XLOOKUP(C471, 'Fees &amp; Postage Table'!A:A, 'Fees &amp; Postage Table'!D:D, 0))</f>
        <v/>
      </c>
      <c r="H471">
        <f>IF(ISBLANK(A471), "", B471 - E471 - F471 - G471)</f>
        <v/>
      </c>
      <c r="I471">
        <f>IF(ISBLANK(A471), "", D471 - XLOOKUP(A471, Inventory!A:A, Inventory!H:H, TODAY()))</f>
        <v/>
      </c>
    </row>
    <row r="472">
      <c r="E472">
        <f>IF(ISBLANK(A472), "", XLOOKUP(A472, Inventory!A:A, Inventory!E:E, 0))</f>
        <v/>
      </c>
      <c r="F472">
        <f>IF(ISBLANK(A472), "", (B472 * XLOOKUP(C472, 'Fees &amp; Postage Table'!A:A, 'Fees &amp; Postage Table'!C:C, 0)) + XLOOKUP(C472, 'Fees &amp; Postage Table'!A:A, 'Fees &amp; Postage Table'!B:B, 0))</f>
        <v/>
      </c>
      <c r="G472">
        <f>IF(ISBLANK(A472), "", XLOOKUP(C472, 'Fees &amp; Postage Table'!A:A, 'Fees &amp; Postage Table'!D:D, 0))</f>
        <v/>
      </c>
      <c r="H472">
        <f>IF(ISBLANK(A472), "", B472 - E472 - F472 - G472)</f>
        <v/>
      </c>
      <c r="I472">
        <f>IF(ISBLANK(A472), "", D472 - XLOOKUP(A472, Inventory!A:A, Inventory!H:H, TODAY()))</f>
        <v/>
      </c>
    </row>
    <row r="473">
      <c r="E473">
        <f>IF(ISBLANK(A473), "", XLOOKUP(A473, Inventory!A:A, Inventory!E:E, 0))</f>
        <v/>
      </c>
      <c r="F473">
        <f>IF(ISBLANK(A473), "", (B473 * XLOOKUP(C473, 'Fees &amp; Postage Table'!A:A, 'Fees &amp; Postage Table'!C:C, 0)) + XLOOKUP(C473, 'Fees &amp; Postage Table'!A:A, 'Fees &amp; Postage Table'!B:B, 0))</f>
        <v/>
      </c>
      <c r="G473">
        <f>IF(ISBLANK(A473), "", XLOOKUP(C473, 'Fees &amp; Postage Table'!A:A, 'Fees &amp; Postage Table'!D:D, 0))</f>
        <v/>
      </c>
      <c r="H473">
        <f>IF(ISBLANK(A473), "", B473 - E473 - F473 - G473)</f>
        <v/>
      </c>
      <c r="I473">
        <f>IF(ISBLANK(A473), "", D473 - XLOOKUP(A473, Inventory!A:A, Inventory!H:H, TODAY()))</f>
        <v/>
      </c>
    </row>
    <row r="474">
      <c r="E474">
        <f>IF(ISBLANK(A474), "", XLOOKUP(A474, Inventory!A:A, Inventory!E:E, 0))</f>
        <v/>
      </c>
      <c r="F474">
        <f>IF(ISBLANK(A474), "", (B474 * XLOOKUP(C474, 'Fees &amp; Postage Table'!A:A, 'Fees &amp; Postage Table'!C:C, 0)) + XLOOKUP(C474, 'Fees &amp; Postage Table'!A:A, 'Fees &amp; Postage Table'!B:B, 0))</f>
        <v/>
      </c>
      <c r="G474">
        <f>IF(ISBLANK(A474), "", XLOOKUP(C474, 'Fees &amp; Postage Table'!A:A, 'Fees &amp; Postage Table'!D:D, 0))</f>
        <v/>
      </c>
      <c r="H474">
        <f>IF(ISBLANK(A474), "", B474 - E474 - F474 - G474)</f>
        <v/>
      </c>
      <c r="I474">
        <f>IF(ISBLANK(A474), "", D474 - XLOOKUP(A474, Inventory!A:A, Inventory!H:H, TODAY()))</f>
        <v/>
      </c>
    </row>
    <row r="475">
      <c r="E475">
        <f>IF(ISBLANK(A475), "", XLOOKUP(A475, Inventory!A:A, Inventory!E:E, 0))</f>
        <v/>
      </c>
      <c r="F475">
        <f>IF(ISBLANK(A475), "", (B475 * XLOOKUP(C475, 'Fees &amp; Postage Table'!A:A, 'Fees &amp; Postage Table'!C:C, 0)) + XLOOKUP(C475, 'Fees &amp; Postage Table'!A:A, 'Fees &amp; Postage Table'!B:B, 0))</f>
        <v/>
      </c>
      <c r="G475">
        <f>IF(ISBLANK(A475), "", XLOOKUP(C475, 'Fees &amp; Postage Table'!A:A, 'Fees &amp; Postage Table'!D:D, 0))</f>
        <v/>
      </c>
      <c r="H475">
        <f>IF(ISBLANK(A475), "", B475 - E475 - F475 - G475)</f>
        <v/>
      </c>
      <c r="I475">
        <f>IF(ISBLANK(A475), "", D475 - XLOOKUP(A475, Inventory!A:A, Inventory!H:H, TODAY()))</f>
        <v/>
      </c>
    </row>
    <row r="476">
      <c r="E476">
        <f>IF(ISBLANK(A476), "", XLOOKUP(A476, Inventory!A:A, Inventory!E:E, 0))</f>
        <v/>
      </c>
      <c r="F476">
        <f>IF(ISBLANK(A476), "", (B476 * XLOOKUP(C476, 'Fees &amp; Postage Table'!A:A, 'Fees &amp; Postage Table'!C:C, 0)) + XLOOKUP(C476, 'Fees &amp; Postage Table'!A:A, 'Fees &amp; Postage Table'!B:B, 0))</f>
        <v/>
      </c>
      <c r="G476">
        <f>IF(ISBLANK(A476), "", XLOOKUP(C476, 'Fees &amp; Postage Table'!A:A, 'Fees &amp; Postage Table'!D:D, 0))</f>
        <v/>
      </c>
      <c r="H476">
        <f>IF(ISBLANK(A476), "", B476 - E476 - F476 - G476)</f>
        <v/>
      </c>
      <c r="I476">
        <f>IF(ISBLANK(A476), "", D476 - XLOOKUP(A476, Inventory!A:A, Inventory!H:H, TODAY()))</f>
        <v/>
      </c>
    </row>
    <row r="477">
      <c r="E477">
        <f>IF(ISBLANK(A477), "", XLOOKUP(A477, Inventory!A:A, Inventory!E:E, 0))</f>
        <v/>
      </c>
      <c r="F477">
        <f>IF(ISBLANK(A477), "", (B477 * XLOOKUP(C477, 'Fees &amp; Postage Table'!A:A, 'Fees &amp; Postage Table'!C:C, 0)) + XLOOKUP(C477, 'Fees &amp; Postage Table'!A:A, 'Fees &amp; Postage Table'!B:B, 0))</f>
        <v/>
      </c>
      <c r="G477">
        <f>IF(ISBLANK(A477), "", XLOOKUP(C477, 'Fees &amp; Postage Table'!A:A, 'Fees &amp; Postage Table'!D:D, 0))</f>
        <v/>
      </c>
      <c r="H477">
        <f>IF(ISBLANK(A477), "", B477 - E477 - F477 - G477)</f>
        <v/>
      </c>
      <c r="I477">
        <f>IF(ISBLANK(A477), "", D477 - XLOOKUP(A477, Inventory!A:A, Inventory!H:H, TODAY()))</f>
        <v/>
      </c>
    </row>
    <row r="478">
      <c r="E478">
        <f>IF(ISBLANK(A478), "", XLOOKUP(A478, Inventory!A:A, Inventory!E:E, 0))</f>
        <v/>
      </c>
      <c r="F478">
        <f>IF(ISBLANK(A478), "", (B478 * XLOOKUP(C478, 'Fees &amp; Postage Table'!A:A, 'Fees &amp; Postage Table'!C:C, 0)) + XLOOKUP(C478, 'Fees &amp; Postage Table'!A:A, 'Fees &amp; Postage Table'!B:B, 0))</f>
        <v/>
      </c>
      <c r="G478">
        <f>IF(ISBLANK(A478), "", XLOOKUP(C478, 'Fees &amp; Postage Table'!A:A, 'Fees &amp; Postage Table'!D:D, 0))</f>
        <v/>
      </c>
      <c r="H478">
        <f>IF(ISBLANK(A478), "", B478 - E478 - F478 - G478)</f>
        <v/>
      </c>
      <c r="I478">
        <f>IF(ISBLANK(A478), "", D478 - XLOOKUP(A478, Inventory!A:A, Inventory!H:H, TODAY()))</f>
        <v/>
      </c>
    </row>
    <row r="479">
      <c r="E479">
        <f>IF(ISBLANK(A479), "", XLOOKUP(A479, Inventory!A:A, Inventory!E:E, 0))</f>
        <v/>
      </c>
      <c r="F479">
        <f>IF(ISBLANK(A479), "", (B479 * XLOOKUP(C479, 'Fees &amp; Postage Table'!A:A, 'Fees &amp; Postage Table'!C:C, 0)) + XLOOKUP(C479, 'Fees &amp; Postage Table'!A:A, 'Fees &amp; Postage Table'!B:B, 0))</f>
        <v/>
      </c>
      <c r="G479">
        <f>IF(ISBLANK(A479), "", XLOOKUP(C479, 'Fees &amp; Postage Table'!A:A, 'Fees &amp; Postage Table'!D:D, 0))</f>
        <v/>
      </c>
      <c r="H479">
        <f>IF(ISBLANK(A479), "", B479 - E479 - F479 - G479)</f>
        <v/>
      </c>
      <c r="I479">
        <f>IF(ISBLANK(A479), "", D479 - XLOOKUP(A479, Inventory!A:A, Inventory!H:H, TODAY()))</f>
        <v/>
      </c>
    </row>
    <row r="480">
      <c r="E480">
        <f>IF(ISBLANK(A480), "", XLOOKUP(A480, Inventory!A:A, Inventory!E:E, 0))</f>
        <v/>
      </c>
      <c r="F480">
        <f>IF(ISBLANK(A480), "", (B480 * XLOOKUP(C480, 'Fees &amp; Postage Table'!A:A, 'Fees &amp; Postage Table'!C:C, 0)) + XLOOKUP(C480, 'Fees &amp; Postage Table'!A:A, 'Fees &amp; Postage Table'!B:B, 0))</f>
        <v/>
      </c>
      <c r="G480">
        <f>IF(ISBLANK(A480), "", XLOOKUP(C480, 'Fees &amp; Postage Table'!A:A, 'Fees &amp; Postage Table'!D:D, 0))</f>
        <v/>
      </c>
      <c r="H480">
        <f>IF(ISBLANK(A480), "", B480 - E480 - F480 - G480)</f>
        <v/>
      </c>
      <c r="I480">
        <f>IF(ISBLANK(A480), "", D480 - XLOOKUP(A480, Inventory!A:A, Inventory!H:H, TODAY()))</f>
        <v/>
      </c>
    </row>
    <row r="481">
      <c r="E481">
        <f>IF(ISBLANK(A481), "", XLOOKUP(A481, Inventory!A:A, Inventory!E:E, 0))</f>
        <v/>
      </c>
      <c r="F481">
        <f>IF(ISBLANK(A481), "", (B481 * XLOOKUP(C481, 'Fees &amp; Postage Table'!A:A, 'Fees &amp; Postage Table'!C:C, 0)) + XLOOKUP(C481, 'Fees &amp; Postage Table'!A:A, 'Fees &amp; Postage Table'!B:B, 0))</f>
        <v/>
      </c>
      <c r="G481">
        <f>IF(ISBLANK(A481), "", XLOOKUP(C481, 'Fees &amp; Postage Table'!A:A, 'Fees &amp; Postage Table'!D:D, 0))</f>
        <v/>
      </c>
      <c r="H481">
        <f>IF(ISBLANK(A481), "", B481 - E481 - F481 - G481)</f>
        <v/>
      </c>
      <c r="I481">
        <f>IF(ISBLANK(A481), "", D481 - XLOOKUP(A481, Inventory!A:A, Inventory!H:H, TODAY()))</f>
        <v/>
      </c>
    </row>
    <row r="482">
      <c r="E482">
        <f>IF(ISBLANK(A482), "", XLOOKUP(A482, Inventory!A:A, Inventory!E:E, 0))</f>
        <v/>
      </c>
      <c r="F482">
        <f>IF(ISBLANK(A482), "", (B482 * XLOOKUP(C482, 'Fees &amp; Postage Table'!A:A, 'Fees &amp; Postage Table'!C:C, 0)) + XLOOKUP(C482, 'Fees &amp; Postage Table'!A:A, 'Fees &amp; Postage Table'!B:B, 0))</f>
        <v/>
      </c>
      <c r="G482">
        <f>IF(ISBLANK(A482), "", XLOOKUP(C482, 'Fees &amp; Postage Table'!A:A, 'Fees &amp; Postage Table'!D:D, 0))</f>
        <v/>
      </c>
      <c r="H482">
        <f>IF(ISBLANK(A482), "", B482 - E482 - F482 - G482)</f>
        <v/>
      </c>
      <c r="I482">
        <f>IF(ISBLANK(A482), "", D482 - XLOOKUP(A482, Inventory!A:A, Inventory!H:H, TODAY()))</f>
        <v/>
      </c>
    </row>
    <row r="483">
      <c r="E483">
        <f>IF(ISBLANK(A483), "", XLOOKUP(A483, Inventory!A:A, Inventory!E:E, 0))</f>
        <v/>
      </c>
      <c r="F483">
        <f>IF(ISBLANK(A483), "", (B483 * XLOOKUP(C483, 'Fees &amp; Postage Table'!A:A, 'Fees &amp; Postage Table'!C:C, 0)) + XLOOKUP(C483, 'Fees &amp; Postage Table'!A:A, 'Fees &amp; Postage Table'!B:B, 0))</f>
        <v/>
      </c>
      <c r="G483">
        <f>IF(ISBLANK(A483), "", XLOOKUP(C483, 'Fees &amp; Postage Table'!A:A, 'Fees &amp; Postage Table'!D:D, 0))</f>
        <v/>
      </c>
      <c r="H483">
        <f>IF(ISBLANK(A483), "", B483 - E483 - F483 - G483)</f>
        <v/>
      </c>
      <c r="I483">
        <f>IF(ISBLANK(A483), "", D483 - XLOOKUP(A483, Inventory!A:A, Inventory!H:H, TODAY()))</f>
        <v/>
      </c>
    </row>
    <row r="484">
      <c r="E484">
        <f>IF(ISBLANK(A484), "", XLOOKUP(A484, Inventory!A:A, Inventory!E:E, 0))</f>
        <v/>
      </c>
      <c r="F484">
        <f>IF(ISBLANK(A484), "", (B484 * XLOOKUP(C484, 'Fees &amp; Postage Table'!A:A, 'Fees &amp; Postage Table'!C:C, 0)) + XLOOKUP(C484, 'Fees &amp; Postage Table'!A:A, 'Fees &amp; Postage Table'!B:B, 0))</f>
        <v/>
      </c>
      <c r="G484">
        <f>IF(ISBLANK(A484), "", XLOOKUP(C484, 'Fees &amp; Postage Table'!A:A, 'Fees &amp; Postage Table'!D:D, 0))</f>
        <v/>
      </c>
      <c r="H484">
        <f>IF(ISBLANK(A484), "", B484 - E484 - F484 - G484)</f>
        <v/>
      </c>
      <c r="I484">
        <f>IF(ISBLANK(A484), "", D484 - XLOOKUP(A484, Inventory!A:A, Inventory!H:H, TODAY()))</f>
        <v/>
      </c>
    </row>
    <row r="485">
      <c r="E485">
        <f>IF(ISBLANK(A485), "", XLOOKUP(A485, Inventory!A:A, Inventory!E:E, 0))</f>
        <v/>
      </c>
      <c r="F485">
        <f>IF(ISBLANK(A485), "", (B485 * XLOOKUP(C485, 'Fees &amp; Postage Table'!A:A, 'Fees &amp; Postage Table'!C:C, 0)) + XLOOKUP(C485, 'Fees &amp; Postage Table'!A:A, 'Fees &amp; Postage Table'!B:B, 0))</f>
        <v/>
      </c>
      <c r="G485">
        <f>IF(ISBLANK(A485), "", XLOOKUP(C485, 'Fees &amp; Postage Table'!A:A, 'Fees &amp; Postage Table'!D:D, 0))</f>
        <v/>
      </c>
      <c r="H485">
        <f>IF(ISBLANK(A485), "", B485 - E485 - F485 - G485)</f>
        <v/>
      </c>
      <c r="I485">
        <f>IF(ISBLANK(A485), "", D485 - XLOOKUP(A485, Inventory!A:A, Inventory!H:H, TODAY()))</f>
        <v/>
      </c>
    </row>
    <row r="486">
      <c r="E486">
        <f>IF(ISBLANK(A486), "", XLOOKUP(A486, Inventory!A:A, Inventory!E:E, 0))</f>
        <v/>
      </c>
      <c r="F486">
        <f>IF(ISBLANK(A486), "", (B486 * XLOOKUP(C486, 'Fees &amp; Postage Table'!A:A, 'Fees &amp; Postage Table'!C:C, 0)) + XLOOKUP(C486, 'Fees &amp; Postage Table'!A:A, 'Fees &amp; Postage Table'!B:B, 0))</f>
        <v/>
      </c>
      <c r="G486">
        <f>IF(ISBLANK(A486), "", XLOOKUP(C486, 'Fees &amp; Postage Table'!A:A, 'Fees &amp; Postage Table'!D:D, 0))</f>
        <v/>
      </c>
      <c r="H486">
        <f>IF(ISBLANK(A486), "", B486 - E486 - F486 - G486)</f>
        <v/>
      </c>
      <c r="I486">
        <f>IF(ISBLANK(A486), "", D486 - XLOOKUP(A486, Inventory!A:A, Inventory!H:H, TODAY()))</f>
        <v/>
      </c>
    </row>
    <row r="487">
      <c r="E487">
        <f>IF(ISBLANK(A487), "", XLOOKUP(A487, Inventory!A:A, Inventory!E:E, 0))</f>
        <v/>
      </c>
      <c r="F487">
        <f>IF(ISBLANK(A487), "", (B487 * XLOOKUP(C487, 'Fees &amp; Postage Table'!A:A, 'Fees &amp; Postage Table'!C:C, 0)) + XLOOKUP(C487, 'Fees &amp; Postage Table'!A:A, 'Fees &amp; Postage Table'!B:B, 0))</f>
        <v/>
      </c>
      <c r="G487">
        <f>IF(ISBLANK(A487), "", XLOOKUP(C487, 'Fees &amp; Postage Table'!A:A, 'Fees &amp; Postage Table'!D:D, 0))</f>
        <v/>
      </c>
      <c r="H487">
        <f>IF(ISBLANK(A487), "", B487 - E487 - F487 - G487)</f>
        <v/>
      </c>
      <c r="I487">
        <f>IF(ISBLANK(A487), "", D487 - XLOOKUP(A487, Inventory!A:A, Inventory!H:H, TODAY()))</f>
        <v/>
      </c>
    </row>
    <row r="488">
      <c r="E488">
        <f>IF(ISBLANK(A488), "", XLOOKUP(A488, Inventory!A:A, Inventory!E:E, 0))</f>
        <v/>
      </c>
      <c r="F488">
        <f>IF(ISBLANK(A488), "", (B488 * XLOOKUP(C488, 'Fees &amp; Postage Table'!A:A, 'Fees &amp; Postage Table'!C:C, 0)) + XLOOKUP(C488, 'Fees &amp; Postage Table'!A:A, 'Fees &amp; Postage Table'!B:B, 0))</f>
        <v/>
      </c>
      <c r="G488">
        <f>IF(ISBLANK(A488), "", XLOOKUP(C488, 'Fees &amp; Postage Table'!A:A, 'Fees &amp; Postage Table'!D:D, 0))</f>
        <v/>
      </c>
      <c r="H488">
        <f>IF(ISBLANK(A488), "", B488 - E488 - F488 - G488)</f>
        <v/>
      </c>
      <c r="I488">
        <f>IF(ISBLANK(A488), "", D488 - XLOOKUP(A488, Inventory!A:A, Inventory!H:H, TODAY()))</f>
        <v/>
      </c>
    </row>
    <row r="489">
      <c r="E489">
        <f>IF(ISBLANK(A489), "", XLOOKUP(A489, Inventory!A:A, Inventory!E:E, 0))</f>
        <v/>
      </c>
      <c r="F489">
        <f>IF(ISBLANK(A489), "", (B489 * XLOOKUP(C489, 'Fees &amp; Postage Table'!A:A, 'Fees &amp; Postage Table'!C:C, 0)) + XLOOKUP(C489, 'Fees &amp; Postage Table'!A:A, 'Fees &amp; Postage Table'!B:B, 0))</f>
        <v/>
      </c>
      <c r="G489">
        <f>IF(ISBLANK(A489), "", XLOOKUP(C489, 'Fees &amp; Postage Table'!A:A, 'Fees &amp; Postage Table'!D:D, 0))</f>
        <v/>
      </c>
      <c r="H489">
        <f>IF(ISBLANK(A489), "", B489 - E489 - F489 - G489)</f>
        <v/>
      </c>
      <c r="I489">
        <f>IF(ISBLANK(A489), "", D489 - XLOOKUP(A489, Inventory!A:A, Inventory!H:H, TODAY()))</f>
        <v/>
      </c>
    </row>
    <row r="490">
      <c r="E490">
        <f>IF(ISBLANK(A490), "", XLOOKUP(A490, Inventory!A:A, Inventory!E:E, 0))</f>
        <v/>
      </c>
      <c r="F490">
        <f>IF(ISBLANK(A490), "", (B490 * XLOOKUP(C490, 'Fees &amp; Postage Table'!A:A, 'Fees &amp; Postage Table'!C:C, 0)) + XLOOKUP(C490, 'Fees &amp; Postage Table'!A:A, 'Fees &amp; Postage Table'!B:B, 0))</f>
        <v/>
      </c>
      <c r="G490">
        <f>IF(ISBLANK(A490), "", XLOOKUP(C490, 'Fees &amp; Postage Table'!A:A, 'Fees &amp; Postage Table'!D:D, 0))</f>
        <v/>
      </c>
      <c r="H490">
        <f>IF(ISBLANK(A490), "", B490 - E490 - F490 - G490)</f>
        <v/>
      </c>
      <c r="I490">
        <f>IF(ISBLANK(A490), "", D490 - XLOOKUP(A490, Inventory!A:A, Inventory!H:H, TODAY()))</f>
        <v/>
      </c>
    </row>
    <row r="491">
      <c r="E491">
        <f>IF(ISBLANK(A491), "", XLOOKUP(A491, Inventory!A:A, Inventory!E:E, 0))</f>
        <v/>
      </c>
      <c r="F491">
        <f>IF(ISBLANK(A491), "", (B491 * XLOOKUP(C491, 'Fees &amp; Postage Table'!A:A, 'Fees &amp; Postage Table'!C:C, 0)) + XLOOKUP(C491, 'Fees &amp; Postage Table'!A:A, 'Fees &amp; Postage Table'!B:B, 0))</f>
        <v/>
      </c>
      <c r="G491">
        <f>IF(ISBLANK(A491), "", XLOOKUP(C491, 'Fees &amp; Postage Table'!A:A, 'Fees &amp; Postage Table'!D:D, 0))</f>
        <v/>
      </c>
      <c r="H491">
        <f>IF(ISBLANK(A491), "", B491 - E491 - F491 - G491)</f>
        <v/>
      </c>
      <c r="I491">
        <f>IF(ISBLANK(A491), "", D491 - XLOOKUP(A491, Inventory!A:A, Inventory!H:H, TODAY()))</f>
        <v/>
      </c>
    </row>
    <row r="492">
      <c r="E492">
        <f>IF(ISBLANK(A492), "", XLOOKUP(A492, Inventory!A:A, Inventory!E:E, 0))</f>
        <v/>
      </c>
      <c r="F492">
        <f>IF(ISBLANK(A492), "", (B492 * XLOOKUP(C492, 'Fees &amp; Postage Table'!A:A, 'Fees &amp; Postage Table'!C:C, 0)) + XLOOKUP(C492, 'Fees &amp; Postage Table'!A:A, 'Fees &amp; Postage Table'!B:B, 0))</f>
        <v/>
      </c>
      <c r="G492">
        <f>IF(ISBLANK(A492), "", XLOOKUP(C492, 'Fees &amp; Postage Table'!A:A, 'Fees &amp; Postage Table'!D:D, 0))</f>
        <v/>
      </c>
      <c r="H492">
        <f>IF(ISBLANK(A492), "", B492 - E492 - F492 - G492)</f>
        <v/>
      </c>
      <c r="I492">
        <f>IF(ISBLANK(A492), "", D492 - XLOOKUP(A492, Inventory!A:A, Inventory!H:H, TODAY()))</f>
        <v/>
      </c>
    </row>
    <row r="493">
      <c r="E493">
        <f>IF(ISBLANK(A493), "", XLOOKUP(A493, Inventory!A:A, Inventory!E:E, 0))</f>
        <v/>
      </c>
      <c r="F493">
        <f>IF(ISBLANK(A493), "", (B493 * XLOOKUP(C493, 'Fees &amp; Postage Table'!A:A, 'Fees &amp; Postage Table'!C:C, 0)) + XLOOKUP(C493, 'Fees &amp; Postage Table'!A:A, 'Fees &amp; Postage Table'!B:B, 0))</f>
        <v/>
      </c>
      <c r="G493">
        <f>IF(ISBLANK(A493), "", XLOOKUP(C493, 'Fees &amp; Postage Table'!A:A, 'Fees &amp; Postage Table'!D:D, 0))</f>
        <v/>
      </c>
      <c r="H493">
        <f>IF(ISBLANK(A493), "", B493 - E493 - F493 - G493)</f>
        <v/>
      </c>
      <c r="I493">
        <f>IF(ISBLANK(A493), "", D493 - XLOOKUP(A493, Inventory!A:A, Inventory!H:H, TODAY()))</f>
        <v/>
      </c>
    </row>
    <row r="494">
      <c r="E494">
        <f>IF(ISBLANK(A494), "", XLOOKUP(A494, Inventory!A:A, Inventory!E:E, 0))</f>
        <v/>
      </c>
      <c r="F494">
        <f>IF(ISBLANK(A494), "", (B494 * XLOOKUP(C494, 'Fees &amp; Postage Table'!A:A, 'Fees &amp; Postage Table'!C:C, 0)) + XLOOKUP(C494, 'Fees &amp; Postage Table'!A:A, 'Fees &amp; Postage Table'!B:B, 0))</f>
        <v/>
      </c>
      <c r="G494">
        <f>IF(ISBLANK(A494), "", XLOOKUP(C494, 'Fees &amp; Postage Table'!A:A, 'Fees &amp; Postage Table'!D:D, 0))</f>
        <v/>
      </c>
      <c r="H494">
        <f>IF(ISBLANK(A494), "", B494 - E494 - F494 - G494)</f>
        <v/>
      </c>
      <c r="I494">
        <f>IF(ISBLANK(A494), "", D494 - XLOOKUP(A494, Inventory!A:A, Inventory!H:H, TODAY()))</f>
        <v/>
      </c>
    </row>
    <row r="495">
      <c r="E495">
        <f>IF(ISBLANK(A495), "", XLOOKUP(A495, Inventory!A:A, Inventory!E:E, 0))</f>
        <v/>
      </c>
      <c r="F495">
        <f>IF(ISBLANK(A495), "", (B495 * XLOOKUP(C495, 'Fees &amp; Postage Table'!A:A, 'Fees &amp; Postage Table'!C:C, 0)) + XLOOKUP(C495, 'Fees &amp; Postage Table'!A:A, 'Fees &amp; Postage Table'!B:B, 0))</f>
        <v/>
      </c>
      <c r="G495">
        <f>IF(ISBLANK(A495), "", XLOOKUP(C495, 'Fees &amp; Postage Table'!A:A, 'Fees &amp; Postage Table'!D:D, 0))</f>
        <v/>
      </c>
      <c r="H495">
        <f>IF(ISBLANK(A495), "", B495 - E495 - F495 - G495)</f>
        <v/>
      </c>
      <c r="I495">
        <f>IF(ISBLANK(A495), "", D495 - XLOOKUP(A495, Inventory!A:A, Inventory!H:H, TODAY()))</f>
        <v/>
      </c>
    </row>
    <row r="496">
      <c r="E496">
        <f>IF(ISBLANK(A496), "", XLOOKUP(A496, Inventory!A:A, Inventory!E:E, 0))</f>
        <v/>
      </c>
      <c r="F496">
        <f>IF(ISBLANK(A496), "", (B496 * XLOOKUP(C496, 'Fees &amp; Postage Table'!A:A, 'Fees &amp; Postage Table'!C:C, 0)) + XLOOKUP(C496, 'Fees &amp; Postage Table'!A:A, 'Fees &amp; Postage Table'!B:B, 0))</f>
        <v/>
      </c>
      <c r="G496">
        <f>IF(ISBLANK(A496), "", XLOOKUP(C496, 'Fees &amp; Postage Table'!A:A, 'Fees &amp; Postage Table'!D:D, 0))</f>
        <v/>
      </c>
      <c r="H496">
        <f>IF(ISBLANK(A496), "", B496 - E496 - F496 - G496)</f>
        <v/>
      </c>
      <c r="I496">
        <f>IF(ISBLANK(A496), "", D496 - XLOOKUP(A496, Inventory!A:A, Inventory!H:H, TODAY()))</f>
        <v/>
      </c>
    </row>
    <row r="497">
      <c r="E497">
        <f>IF(ISBLANK(A497), "", XLOOKUP(A497, Inventory!A:A, Inventory!E:E, 0))</f>
        <v/>
      </c>
      <c r="F497">
        <f>IF(ISBLANK(A497), "", (B497 * XLOOKUP(C497, 'Fees &amp; Postage Table'!A:A, 'Fees &amp; Postage Table'!C:C, 0)) + XLOOKUP(C497, 'Fees &amp; Postage Table'!A:A, 'Fees &amp; Postage Table'!B:B, 0))</f>
        <v/>
      </c>
      <c r="G497">
        <f>IF(ISBLANK(A497), "", XLOOKUP(C497, 'Fees &amp; Postage Table'!A:A, 'Fees &amp; Postage Table'!D:D, 0))</f>
        <v/>
      </c>
      <c r="H497">
        <f>IF(ISBLANK(A497), "", B497 - E497 - F497 - G497)</f>
        <v/>
      </c>
      <c r="I497">
        <f>IF(ISBLANK(A497), "", D497 - XLOOKUP(A497, Inventory!A:A, Inventory!H:H, TODAY()))</f>
        <v/>
      </c>
    </row>
    <row r="498">
      <c r="E498">
        <f>IF(ISBLANK(A498), "", XLOOKUP(A498, Inventory!A:A, Inventory!E:E, 0))</f>
        <v/>
      </c>
      <c r="F498">
        <f>IF(ISBLANK(A498), "", (B498 * XLOOKUP(C498, 'Fees &amp; Postage Table'!A:A, 'Fees &amp; Postage Table'!C:C, 0)) + XLOOKUP(C498, 'Fees &amp; Postage Table'!A:A, 'Fees &amp; Postage Table'!B:B, 0))</f>
        <v/>
      </c>
      <c r="G498">
        <f>IF(ISBLANK(A498), "", XLOOKUP(C498, 'Fees &amp; Postage Table'!A:A, 'Fees &amp; Postage Table'!D:D, 0))</f>
        <v/>
      </c>
      <c r="H498">
        <f>IF(ISBLANK(A498), "", B498 - E498 - F498 - G498)</f>
        <v/>
      </c>
      <c r="I498">
        <f>IF(ISBLANK(A498), "", D498 - XLOOKUP(A498, Inventory!A:A, Inventory!H:H, TODAY()))</f>
        <v/>
      </c>
    </row>
    <row r="499">
      <c r="E499">
        <f>IF(ISBLANK(A499), "", XLOOKUP(A499, Inventory!A:A, Inventory!E:E, 0))</f>
        <v/>
      </c>
      <c r="F499">
        <f>IF(ISBLANK(A499), "", (B499 * XLOOKUP(C499, 'Fees &amp; Postage Table'!A:A, 'Fees &amp; Postage Table'!C:C, 0)) + XLOOKUP(C499, 'Fees &amp; Postage Table'!A:A, 'Fees &amp; Postage Table'!B:B, 0))</f>
        <v/>
      </c>
      <c r="G499">
        <f>IF(ISBLANK(A499), "", XLOOKUP(C499, 'Fees &amp; Postage Table'!A:A, 'Fees &amp; Postage Table'!D:D, 0))</f>
        <v/>
      </c>
      <c r="H499">
        <f>IF(ISBLANK(A499), "", B499 - E499 - F499 - G499)</f>
        <v/>
      </c>
      <c r="I499">
        <f>IF(ISBLANK(A499), "", D499 - XLOOKUP(A499, Inventory!A:A, Inventory!H:H, TODAY()))</f>
        <v/>
      </c>
    </row>
    <row r="500">
      <c r="E500">
        <f>IF(ISBLANK(A500), "", XLOOKUP(A500, Inventory!A:A, Inventory!E:E, 0))</f>
        <v/>
      </c>
      <c r="F500">
        <f>IF(ISBLANK(A500), "", (B500 * XLOOKUP(C500, 'Fees &amp; Postage Table'!A:A, 'Fees &amp; Postage Table'!C:C, 0)) + XLOOKUP(C500, 'Fees &amp; Postage Table'!A:A, 'Fees &amp; Postage Table'!B:B, 0))</f>
        <v/>
      </c>
      <c r="G500">
        <f>IF(ISBLANK(A500), "", XLOOKUP(C500, 'Fees &amp; Postage Table'!A:A, 'Fees &amp; Postage Table'!D:D, 0))</f>
        <v/>
      </c>
      <c r="H500">
        <f>IF(ISBLANK(A500), "", B500 - E500 - F500 - G500)</f>
        <v/>
      </c>
      <c r="I500">
        <f>IF(ISBLANK(A500), "", D500 - XLOOKUP(A500, Inventory!A:A, Inventory!H:H, TODAY()))</f>
        <v/>
      </c>
    </row>
    <row r="501">
      <c r="E501">
        <f>IF(ISBLANK(A501), "", XLOOKUP(A501, Inventory!A:A, Inventory!E:E, 0))</f>
        <v/>
      </c>
      <c r="F501">
        <f>IF(ISBLANK(A501), "", (B501 * XLOOKUP(C501, 'Fees &amp; Postage Table'!A:A, 'Fees &amp; Postage Table'!C:C, 0)) + XLOOKUP(C501, 'Fees &amp; Postage Table'!A:A, 'Fees &amp; Postage Table'!B:B, 0))</f>
        <v/>
      </c>
      <c r="G501">
        <f>IF(ISBLANK(A501), "", XLOOKUP(C501, 'Fees &amp; Postage Table'!A:A, 'Fees &amp; Postage Table'!D:D, 0))</f>
        <v/>
      </c>
      <c r="H501">
        <f>IF(ISBLANK(A501), "", B501 - E501 - F501 - G501)</f>
        <v/>
      </c>
      <c r="I501">
        <f>IF(ISBLANK(A501), "", D501 - XLOOKUP(A501, Inventory!A:A, Inventory!H:H, TODAY()))</f>
        <v/>
      </c>
    </row>
    <row r="502">
      <c r="E502">
        <f>IF(ISBLANK(A502), "", XLOOKUP(A502, Inventory!A:A, Inventory!E:E, 0))</f>
        <v/>
      </c>
      <c r="F502">
        <f>IF(ISBLANK(A502), "", (B502 * XLOOKUP(C502, 'Fees &amp; Postage Table'!A:A, 'Fees &amp; Postage Table'!C:C, 0)) + XLOOKUP(C502, 'Fees &amp; Postage Table'!A:A, 'Fees &amp; Postage Table'!B:B, 0))</f>
        <v/>
      </c>
      <c r="G502">
        <f>IF(ISBLANK(A502), "", XLOOKUP(C502, 'Fees &amp; Postage Table'!A:A, 'Fees &amp; Postage Table'!D:D, 0))</f>
        <v/>
      </c>
      <c r="H502">
        <f>IF(ISBLANK(A502), "", B502 - E502 - F502 - G502)</f>
        <v/>
      </c>
      <c r="I502">
        <f>IF(ISBLANK(A502), "", D502 - XLOOKUP(A502, Inventory!A:A, Inventory!H:H, TODAY()))</f>
        <v/>
      </c>
    </row>
    <row r="503">
      <c r="E503">
        <f>IF(ISBLANK(A503), "", XLOOKUP(A503, Inventory!A:A, Inventory!E:E, 0))</f>
        <v/>
      </c>
      <c r="F503">
        <f>IF(ISBLANK(A503), "", (B503 * XLOOKUP(C503, 'Fees &amp; Postage Table'!A:A, 'Fees &amp; Postage Table'!C:C, 0)) + XLOOKUP(C503, 'Fees &amp; Postage Table'!A:A, 'Fees &amp; Postage Table'!B:B, 0))</f>
        <v/>
      </c>
      <c r="G503">
        <f>IF(ISBLANK(A503), "", XLOOKUP(C503, 'Fees &amp; Postage Table'!A:A, 'Fees &amp; Postage Table'!D:D, 0))</f>
        <v/>
      </c>
      <c r="H503">
        <f>IF(ISBLANK(A503), "", B503 - E503 - F503 - G503)</f>
        <v/>
      </c>
      <c r="I503">
        <f>IF(ISBLANK(A503), "", D503 - XLOOKUP(A503, Inventory!A:A, Inventory!H:H, TODAY()))</f>
        <v/>
      </c>
    </row>
    <row r="504">
      <c r="E504">
        <f>IF(ISBLANK(A504), "", XLOOKUP(A504, Inventory!A:A, Inventory!E:E, 0))</f>
        <v/>
      </c>
      <c r="F504">
        <f>IF(ISBLANK(A504), "", (B504 * XLOOKUP(C504, 'Fees &amp; Postage Table'!A:A, 'Fees &amp; Postage Table'!C:C, 0)) + XLOOKUP(C504, 'Fees &amp; Postage Table'!A:A, 'Fees &amp; Postage Table'!B:B, 0))</f>
        <v/>
      </c>
      <c r="G504">
        <f>IF(ISBLANK(A504), "", XLOOKUP(C504, 'Fees &amp; Postage Table'!A:A, 'Fees &amp; Postage Table'!D:D, 0))</f>
        <v/>
      </c>
      <c r="H504">
        <f>IF(ISBLANK(A504), "", B504 - E504 - F504 - G504)</f>
        <v/>
      </c>
      <c r="I504">
        <f>IF(ISBLANK(A504), "", D504 - XLOOKUP(A504, Inventory!A:A, Inventory!H:H, TODAY()))</f>
        <v/>
      </c>
    </row>
    <row r="505">
      <c r="E505">
        <f>IF(ISBLANK(A505), "", XLOOKUP(A505, Inventory!A:A, Inventory!E:E, 0))</f>
        <v/>
      </c>
      <c r="F505">
        <f>IF(ISBLANK(A505), "", (B505 * XLOOKUP(C505, 'Fees &amp; Postage Table'!A:A, 'Fees &amp; Postage Table'!C:C, 0)) + XLOOKUP(C505, 'Fees &amp; Postage Table'!A:A, 'Fees &amp; Postage Table'!B:B, 0))</f>
        <v/>
      </c>
      <c r="G505">
        <f>IF(ISBLANK(A505), "", XLOOKUP(C505, 'Fees &amp; Postage Table'!A:A, 'Fees &amp; Postage Table'!D:D, 0))</f>
        <v/>
      </c>
      <c r="H505">
        <f>IF(ISBLANK(A505), "", B505 - E505 - F505 - G505)</f>
        <v/>
      </c>
      <c r="I505">
        <f>IF(ISBLANK(A505), "", D505 - XLOOKUP(A505, Inventory!A:A, Inventory!H:H, TODAY()))</f>
        <v/>
      </c>
    </row>
    <row r="506">
      <c r="E506">
        <f>IF(ISBLANK(A506), "", XLOOKUP(A506, Inventory!A:A, Inventory!E:E, 0))</f>
        <v/>
      </c>
      <c r="F506">
        <f>IF(ISBLANK(A506), "", (B506 * XLOOKUP(C506, 'Fees &amp; Postage Table'!A:A, 'Fees &amp; Postage Table'!C:C, 0)) + XLOOKUP(C506, 'Fees &amp; Postage Table'!A:A, 'Fees &amp; Postage Table'!B:B, 0))</f>
        <v/>
      </c>
      <c r="G506">
        <f>IF(ISBLANK(A506), "", XLOOKUP(C506, 'Fees &amp; Postage Table'!A:A, 'Fees &amp; Postage Table'!D:D, 0))</f>
        <v/>
      </c>
      <c r="H506">
        <f>IF(ISBLANK(A506), "", B506 - E506 - F506 - G506)</f>
        <v/>
      </c>
      <c r="I506">
        <f>IF(ISBLANK(A506), "", D506 - XLOOKUP(A506, Inventory!A:A, Inventory!H:H, TODAY()))</f>
        <v/>
      </c>
    </row>
    <row r="507">
      <c r="E507">
        <f>IF(ISBLANK(A507), "", XLOOKUP(A507, Inventory!A:A, Inventory!E:E, 0))</f>
        <v/>
      </c>
      <c r="F507">
        <f>IF(ISBLANK(A507), "", (B507 * XLOOKUP(C507, 'Fees &amp; Postage Table'!A:A, 'Fees &amp; Postage Table'!C:C, 0)) + XLOOKUP(C507, 'Fees &amp; Postage Table'!A:A, 'Fees &amp; Postage Table'!B:B, 0))</f>
        <v/>
      </c>
      <c r="G507">
        <f>IF(ISBLANK(A507), "", XLOOKUP(C507, 'Fees &amp; Postage Table'!A:A, 'Fees &amp; Postage Table'!D:D, 0))</f>
        <v/>
      </c>
      <c r="H507">
        <f>IF(ISBLANK(A507), "", B507 - E507 - F507 - G507)</f>
        <v/>
      </c>
      <c r="I507">
        <f>IF(ISBLANK(A507), "", D507 - XLOOKUP(A507, Inventory!A:A, Inventory!H:H, TODAY()))</f>
        <v/>
      </c>
    </row>
    <row r="508">
      <c r="E508">
        <f>IF(ISBLANK(A508), "", XLOOKUP(A508, Inventory!A:A, Inventory!E:E, 0))</f>
        <v/>
      </c>
      <c r="F508">
        <f>IF(ISBLANK(A508), "", (B508 * XLOOKUP(C508, 'Fees &amp; Postage Table'!A:A, 'Fees &amp; Postage Table'!C:C, 0)) + XLOOKUP(C508, 'Fees &amp; Postage Table'!A:A, 'Fees &amp; Postage Table'!B:B, 0))</f>
        <v/>
      </c>
      <c r="G508">
        <f>IF(ISBLANK(A508), "", XLOOKUP(C508, 'Fees &amp; Postage Table'!A:A, 'Fees &amp; Postage Table'!D:D, 0))</f>
        <v/>
      </c>
      <c r="H508">
        <f>IF(ISBLANK(A508), "", B508 - E508 - F508 - G508)</f>
        <v/>
      </c>
      <c r="I508">
        <f>IF(ISBLANK(A508), "", D508 - XLOOKUP(A508, Inventory!A:A, Inventory!H:H, TODAY()))</f>
        <v/>
      </c>
    </row>
    <row r="509">
      <c r="E509">
        <f>IF(ISBLANK(A509), "", XLOOKUP(A509, Inventory!A:A, Inventory!E:E, 0))</f>
        <v/>
      </c>
      <c r="F509">
        <f>IF(ISBLANK(A509), "", (B509 * XLOOKUP(C509, 'Fees &amp; Postage Table'!A:A, 'Fees &amp; Postage Table'!C:C, 0)) + XLOOKUP(C509, 'Fees &amp; Postage Table'!A:A, 'Fees &amp; Postage Table'!B:B, 0))</f>
        <v/>
      </c>
      <c r="G509">
        <f>IF(ISBLANK(A509), "", XLOOKUP(C509, 'Fees &amp; Postage Table'!A:A, 'Fees &amp; Postage Table'!D:D, 0))</f>
        <v/>
      </c>
      <c r="H509">
        <f>IF(ISBLANK(A509), "", B509 - E509 - F509 - G509)</f>
        <v/>
      </c>
      <c r="I509">
        <f>IF(ISBLANK(A509), "", D509 - XLOOKUP(A509, Inventory!A:A, Inventory!H:H, TODAY()))</f>
        <v/>
      </c>
    </row>
    <row r="510">
      <c r="E510">
        <f>IF(ISBLANK(A510), "", XLOOKUP(A510, Inventory!A:A, Inventory!E:E, 0))</f>
        <v/>
      </c>
      <c r="F510">
        <f>IF(ISBLANK(A510), "", (B510 * XLOOKUP(C510, 'Fees &amp; Postage Table'!A:A, 'Fees &amp; Postage Table'!C:C, 0)) + XLOOKUP(C510, 'Fees &amp; Postage Table'!A:A, 'Fees &amp; Postage Table'!B:B, 0))</f>
        <v/>
      </c>
      <c r="G510">
        <f>IF(ISBLANK(A510), "", XLOOKUP(C510, 'Fees &amp; Postage Table'!A:A, 'Fees &amp; Postage Table'!D:D, 0))</f>
        <v/>
      </c>
      <c r="H510">
        <f>IF(ISBLANK(A510), "", B510 - E510 - F510 - G510)</f>
        <v/>
      </c>
      <c r="I510">
        <f>IF(ISBLANK(A510), "", D510 - XLOOKUP(A510, Inventory!A:A, Inventory!H:H, TODAY()))</f>
        <v/>
      </c>
    </row>
    <row r="511">
      <c r="E511">
        <f>IF(ISBLANK(A511), "", XLOOKUP(A511, Inventory!A:A, Inventory!E:E, 0))</f>
        <v/>
      </c>
      <c r="F511">
        <f>IF(ISBLANK(A511), "", (B511 * XLOOKUP(C511, 'Fees &amp; Postage Table'!A:A, 'Fees &amp; Postage Table'!C:C, 0)) + XLOOKUP(C511, 'Fees &amp; Postage Table'!A:A, 'Fees &amp; Postage Table'!B:B, 0))</f>
        <v/>
      </c>
      <c r="G511">
        <f>IF(ISBLANK(A511), "", XLOOKUP(C511, 'Fees &amp; Postage Table'!A:A, 'Fees &amp; Postage Table'!D:D, 0))</f>
        <v/>
      </c>
      <c r="H511">
        <f>IF(ISBLANK(A511), "", B511 - E511 - F511 - G511)</f>
        <v/>
      </c>
      <c r="I511">
        <f>IF(ISBLANK(A511), "", D511 - XLOOKUP(A511, Inventory!A:A, Inventory!H:H, TODAY()))</f>
        <v/>
      </c>
    </row>
    <row r="512">
      <c r="E512">
        <f>IF(ISBLANK(A512), "", XLOOKUP(A512, Inventory!A:A, Inventory!E:E, 0))</f>
        <v/>
      </c>
      <c r="F512">
        <f>IF(ISBLANK(A512), "", (B512 * XLOOKUP(C512, 'Fees &amp; Postage Table'!A:A, 'Fees &amp; Postage Table'!C:C, 0)) + XLOOKUP(C512, 'Fees &amp; Postage Table'!A:A, 'Fees &amp; Postage Table'!B:B, 0))</f>
        <v/>
      </c>
      <c r="G512">
        <f>IF(ISBLANK(A512), "", XLOOKUP(C512, 'Fees &amp; Postage Table'!A:A, 'Fees &amp; Postage Table'!D:D, 0))</f>
        <v/>
      </c>
      <c r="H512">
        <f>IF(ISBLANK(A512), "", B512 - E512 - F512 - G512)</f>
        <v/>
      </c>
      <c r="I512">
        <f>IF(ISBLANK(A512), "", D512 - XLOOKUP(A512, Inventory!A:A, Inventory!H:H, TODAY()))</f>
        <v/>
      </c>
    </row>
    <row r="513">
      <c r="E513">
        <f>IF(ISBLANK(A513), "", XLOOKUP(A513, Inventory!A:A, Inventory!E:E, 0))</f>
        <v/>
      </c>
      <c r="F513">
        <f>IF(ISBLANK(A513), "", (B513 * XLOOKUP(C513, 'Fees &amp; Postage Table'!A:A, 'Fees &amp; Postage Table'!C:C, 0)) + XLOOKUP(C513, 'Fees &amp; Postage Table'!A:A, 'Fees &amp; Postage Table'!B:B, 0))</f>
        <v/>
      </c>
      <c r="G513">
        <f>IF(ISBLANK(A513), "", XLOOKUP(C513, 'Fees &amp; Postage Table'!A:A, 'Fees &amp; Postage Table'!D:D, 0))</f>
        <v/>
      </c>
      <c r="H513">
        <f>IF(ISBLANK(A513), "", B513 - E513 - F513 - G513)</f>
        <v/>
      </c>
      <c r="I513">
        <f>IF(ISBLANK(A513), "", D513 - XLOOKUP(A513, Inventory!A:A, Inventory!H:H, TODAY()))</f>
        <v/>
      </c>
    </row>
    <row r="514">
      <c r="E514">
        <f>IF(ISBLANK(A514), "", XLOOKUP(A514, Inventory!A:A, Inventory!E:E, 0))</f>
        <v/>
      </c>
      <c r="F514">
        <f>IF(ISBLANK(A514), "", (B514 * XLOOKUP(C514, 'Fees &amp; Postage Table'!A:A, 'Fees &amp; Postage Table'!C:C, 0)) + XLOOKUP(C514, 'Fees &amp; Postage Table'!A:A, 'Fees &amp; Postage Table'!B:B, 0))</f>
        <v/>
      </c>
      <c r="G514">
        <f>IF(ISBLANK(A514), "", XLOOKUP(C514, 'Fees &amp; Postage Table'!A:A, 'Fees &amp; Postage Table'!D:D, 0))</f>
        <v/>
      </c>
      <c r="H514">
        <f>IF(ISBLANK(A514), "", B514 - E514 - F514 - G514)</f>
        <v/>
      </c>
      <c r="I514">
        <f>IF(ISBLANK(A514), "", D514 - XLOOKUP(A514, Inventory!A:A, Inventory!H:H, TODAY()))</f>
        <v/>
      </c>
    </row>
    <row r="515">
      <c r="E515">
        <f>IF(ISBLANK(A515), "", XLOOKUP(A515, Inventory!A:A, Inventory!E:E, 0))</f>
        <v/>
      </c>
      <c r="F515">
        <f>IF(ISBLANK(A515), "", (B515 * XLOOKUP(C515, 'Fees &amp; Postage Table'!A:A, 'Fees &amp; Postage Table'!C:C, 0)) + XLOOKUP(C515, 'Fees &amp; Postage Table'!A:A, 'Fees &amp; Postage Table'!B:B, 0))</f>
        <v/>
      </c>
      <c r="G515">
        <f>IF(ISBLANK(A515), "", XLOOKUP(C515, 'Fees &amp; Postage Table'!A:A, 'Fees &amp; Postage Table'!D:D, 0))</f>
        <v/>
      </c>
      <c r="H515">
        <f>IF(ISBLANK(A515), "", B515 - E515 - F515 - G515)</f>
        <v/>
      </c>
      <c r="I515">
        <f>IF(ISBLANK(A515), "", D515 - XLOOKUP(A515, Inventory!A:A, Inventory!H:H, TODAY()))</f>
        <v/>
      </c>
    </row>
    <row r="516">
      <c r="E516">
        <f>IF(ISBLANK(A516), "", XLOOKUP(A516, Inventory!A:A, Inventory!E:E, 0))</f>
        <v/>
      </c>
      <c r="F516">
        <f>IF(ISBLANK(A516), "", (B516 * XLOOKUP(C516, 'Fees &amp; Postage Table'!A:A, 'Fees &amp; Postage Table'!C:C, 0)) + XLOOKUP(C516, 'Fees &amp; Postage Table'!A:A, 'Fees &amp; Postage Table'!B:B, 0))</f>
        <v/>
      </c>
      <c r="G516">
        <f>IF(ISBLANK(A516), "", XLOOKUP(C516, 'Fees &amp; Postage Table'!A:A, 'Fees &amp; Postage Table'!D:D, 0))</f>
        <v/>
      </c>
      <c r="H516">
        <f>IF(ISBLANK(A516), "", B516 - E516 - F516 - G516)</f>
        <v/>
      </c>
      <c r="I516">
        <f>IF(ISBLANK(A516), "", D516 - XLOOKUP(A516, Inventory!A:A, Inventory!H:H, TODAY()))</f>
        <v/>
      </c>
    </row>
    <row r="517">
      <c r="E517">
        <f>IF(ISBLANK(A517), "", XLOOKUP(A517, Inventory!A:A, Inventory!E:E, 0))</f>
        <v/>
      </c>
      <c r="F517">
        <f>IF(ISBLANK(A517), "", (B517 * XLOOKUP(C517, 'Fees &amp; Postage Table'!A:A, 'Fees &amp; Postage Table'!C:C, 0)) + XLOOKUP(C517, 'Fees &amp; Postage Table'!A:A, 'Fees &amp; Postage Table'!B:B, 0))</f>
        <v/>
      </c>
      <c r="G517">
        <f>IF(ISBLANK(A517), "", XLOOKUP(C517, 'Fees &amp; Postage Table'!A:A, 'Fees &amp; Postage Table'!D:D, 0))</f>
        <v/>
      </c>
      <c r="H517">
        <f>IF(ISBLANK(A517), "", B517 - E517 - F517 - G517)</f>
        <v/>
      </c>
      <c r="I517">
        <f>IF(ISBLANK(A517), "", D517 - XLOOKUP(A517, Inventory!A:A, Inventory!H:H, TODAY()))</f>
        <v/>
      </c>
    </row>
    <row r="518">
      <c r="E518">
        <f>IF(ISBLANK(A518), "", XLOOKUP(A518, Inventory!A:A, Inventory!E:E, 0))</f>
        <v/>
      </c>
      <c r="F518">
        <f>IF(ISBLANK(A518), "", (B518 * XLOOKUP(C518, 'Fees &amp; Postage Table'!A:A, 'Fees &amp; Postage Table'!C:C, 0)) + XLOOKUP(C518, 'Fees &amp; Postage Table'!A:A, 'Fees &amp; Postage Table'!B:B, 0))</f>
        <v/>
      </c>
      <c r="G518">
        <f>IF(ISBLANK(A518), "", XLOOKUP(C518, 'Fees &amp; Postage Table'!A:A, 'Fees &amp; Postage Table'!D:D, 0))</f>
        <v/>
      </c>
      <c r="H518">
        <f>IF(ISBLANK(A518), "", B518 - E518 - F518 - G518)</f>
        <v/>
      </c>
      <c r="I518">
        <f>IF(ISBLANK(A518), "", D518 - XLOOKUP(A518, Inventory!A:A, Inventory!H:H, TODAY()))</f>
        <v/>
      </c>
    </row>
    <row r="519">
      <c r="E519">
        <f>IF(ISBLANK(A519), "", XLOOKUP(A519, Inventory!A:A, Inventory!E:E, 0))</f>
        <v/>
      </c>
      <c r="F519">
        <f>IF(ISBLANK(A519), "", (B519 * XLOOKUP(C519, 'Fees &amp; Postage Table'!A:A, 'Fees &amp; Postage Table'!C:C, 0)) + XLOOKUP(C519, 'Fees &amp; Postage Table'!A:A, 'Fees &amp; Postage Table'!B:B, 0))</f>
        <v/>
      </c>
      <c r="G519">
        <f>IF(ISBLANK(A519), "", XLOOKUP(C519, 'Fees &amp; Postage Table'!A:A, 'Fees &amp; Postage Table'!D:D, 0))</f>
        <v/>
      </c>
      <c r="H519">
        <f>IF(ISBLANK(A519), "", B519 - E519 - F519 - G519)</f>
        <v/>
      </c>
      <c r="I519">
        <f>IF(ISBLANK(A519), "", D519 - XLOOKUP(A519, Inventory!A:A, Inventory!H:H, TODAY()))</f>
        <v/>
      </c>
    </row>
    <row r="520">
      <c r="E520">
        <f>IF(ISBLANK(A520), "", XLOOKUP(A520, Inventory!A:A, Inventory!E:E, 0))</f>
        <v/>
      </c>
      <c r="F520">
        <f>IF(ISBLANK(A520), "", (B520 * XLOOKUP(C520, 'Fees &amp; Postage Table'!A:A, 'Fees &amp; Postage Table'!C:C, 0)) + XLOOKUP(C520, 'Fees &amp; Postage Table'!A:A, 'Fees &amp; Postage Table'!B:B, 0))</f>
        <v/>
      </c>
      <c r="G520">
        <f>IF(ISBLANK(A520), "", XLOOKUP(C520, 'Fees &amp; Postage Table'!A:A, 'Fees &amp; Postage Table'!D:D, 0))</f>
        <v/>
      </c>
      <c r="H520">
        <f>IF(ISBLANK(A520), "", B520 - E520 - F520 - G520)</f>
        <v/>
      </c>
      <c r="I520">
        <f>IF(ISBLANK(A520), "", D520 - XLOOKUP(A520, Inventory!A:A, Inventory!H:H, TODAY()))</f>
        <v/>
      </c>
    </row>
    <row r="521">
      <c r="E521">
        <f>IF(ISBLANK(A521), "", XLOOKUP(A521, Inventory!A:A, Inventory!E:E, 0))</f>
        <v/>
      </c>
      <c r="F521">
        <f>IF(ISBLANK(A521), "", (B521 * XLOOKUP(C521, 'Fees &amp; Postage Table'!A:A, 'Fees &amp; Postage Table'!C:C, 0)) + XLOOKUP(C521, 'Fees &amp; Postage Table'!A:A, 'Fees &amp; Postage Table'!B:B, 0))</f>
        <v/>
      </c>
      <c r="G521">
        <f>IF(ISBLANK(A521), "", XLOOKUP(C521, 'Fees &amp; Postage Table'!A:A, 'Fees &amp; Postage Table'!D:D, 0))</f>
        <v/>
      </c>
      <c r="H521">
        <f>IF(ISBLANK(A521), "", B521 - E521 - F521 - G521)</f>
        <v/>
      </c>
      <c r="I521">
        <f>IF(ISBLANK(A521), "", D521 - XLOOKUP(A521, Inventory!A:A, Inventory!H:H, TODAY()))</f>
        <v/>
      </c>
    </row>
    <row r="522">
      <c r="E522">
        <f>IF(ISBLANK(A522), "", XLOOKUP(A522, Inventory!A:A, Inventory!E:E, 0))</f>
        <v/>
      </c>
      <c r="F522">
        <f>IF(ISBLANK(A522), "", (B522 * XLOOKUP(C522, 'Fees &amp; Postage Table'!A:A, 'Fees &amp; Postage Table'!C:C, 0)) + XLOOKUP(C522, 'Fees &amp; Postage Table'!A:A, 'Fees &amp; Postage Table'!B:B, 0))</f>
        <v/>
      </c>
      <c r="G522">
        <f>IF(ISBLANK(A522), "", XLOOKUP(C522, 'Fees &amp; Postage Table'!A:A, 'Fees &amp; Postage Table'!D:D, 0))</f>
        <v/>
      </c>
      <c r="H522">
        <f>IF(ISBLANK(A522), "", B522 - E522 - F522 - G522)</f>
        <v/>
      </c>
      <c r="I522">
        <f>IF(ISBLANK(A522), "", D522 - XLOOKUP(A522, Inventory!A:A, Inventory!H:H, TODAY()))</f>
        <v/>
      </c>
    </row>
    <row r="523">
      <c r="E523">
        <f>IF(ISBLANK(A523), "", XLOOKUP(A523, Inventory!A:A, Inventory!E:E, 0))</f>
        <v/>
      </c>
      <c r="F523">
        <f>IF(ISBLANK(A523), "", (B523 * XLOOKUP(C523, 'Fees &amp; Postage Table'!A:A, 'Fees &amp; Postage Table'!C:C, 0)) + XLOOKUP(C523, 'Fees &amp; Postage Table'!A:A, 'Fees &amp; Postage Table'!B:B, 0))</f>
        <v/>
      </c>
      <c r="G523">
        <f>IF(ISBLANK(A523), "", XLOOKUP(C523, 'Fees &amp; Postage Table'!A:A, 'Fees &amp; Postage Table'!D:D, 0))</f>
        <v/>
      </c>
      <c r="H523">
        <f>IF(ISBLANK(A523), "", B523 - E523 - F523 - G523)</f>
        <v/>
      </c>
      <c r="I523">
        <f>IF(ISBLANK(A523), "", D523 - XLOOKUP(A523, Inventory!A:A, Inventory!H:H, TODAY()))</f>
        <v/>
      </c>
    </row>
    <row r="524">
      <c r="E524">
        <f>IF(ISBLANK(A524), "", XLOOKUP(A524, Inventory!A:A, Inventory!E:E, 0))</f>
        <v/>
      </c>
      <c r="F524">
        <f>IF(ISBLANK(A524), "", (B524 * XLOOKUP(C524, 'Fees &amp; Postage Table'!A:A, 'Fees &amp; Postage Table'!C:C, 0)) + XLOOKUP(C524, 'Fees &amp; Postage Table'!A:A, 'Fees &amp; Postage Table'!B:B, 0))</f>
        <v/>
      </c>
      <c r="G524">
        <f>IF(ISBLANK(A524), "", XLOOKUP(C524, 'Fees &amp; Postage Table'!A:A, 'Fees &amp; Postage Table'!D:D, 0))</f>
        <v/>
      </c>
      <c r="H524">
        <f>IF(ISBLANK(A524), "", B524 - E524 - F524 - G524)</f>
        <v/>
      </c>
      <c r="I524">
        <f>IF(ISBLANK(A524), "", D524 - XLOOKUP(A524, Inventory!A:A, Inventory!H:H, TODAY()))</f>
        <v/>
      </c>
    </row>
    <row r="525">
      <c r="E525">
        <f>IF(ISBLANK(A525), "", XLOOKUP(A525, Inventory!A:A, Inventory!E:E, 0))</f>
        <v/>
      </c>
      <c r="F525">
        <f>IF(ISBLANK(A525), "", (B525 * XLOOKUP(C525, 'Fees &amp; Postage Table'!A:A, 'Fees &amp; Postage Table'!C:C, 0)) + XLOOKUP(C525, 'Fees &amp; Postage Table'!A:A, 'Fees &amp; Postage Table'!B:B, 0))</f>
        <v/>
      </c>
      <c r="G525">
        <f>IF(ISBLANK(A525), "", XLOOKUP(C525, 'Fees &amp; Postage Table'!A:A, 'Fees &amp; Postage Table'!D:D, 0))</f>
        <v/>
      </c>
      <c r="H525">
        <f>IF(ISBLANK(A525), "", B525 - E525 - F525 - G525)</f>
        <v/>
      </c>
      <c r="I525">
        <f>IF(ISBLANK(A525), "", D525 - XLOOKUP(A525, Inventory!A:A, Inventory!H:H, TODAY()))</f>
        <v/>
      </c>
    </row>
    <row r="526">
      <c r="E526">
        <f>IF(ISBLANK(A526), "", XLOOKUP(A526, Inventory!A:A, Inventory!E:E, 0))</f>
        <v/>
      </c>
      <c r="F526">
        <f>IF(ISBLANK(A526), "", (B526 * XLOOKUP(C526, 'Fees &amp; Postage Table'!A:A, 'Fees &amp; Postage Table'!C:C, 0)) + XLOOKUP(C526, 'Fees &amp; Postage Table'!A:A, 'Fees &amp; Postage Table'!B:B, 0))</f>
        <v/>
      </c>
      <c r="G526">
        <f>IF(ISBLANK(A526), "", XLOOKUP(C526, 'Fees &amp; Postage Table'!A:A, 'Fees &amp; Postage Table'!D:D, 0))</f>
        <v/>
      </c>
      <c r="H526">
        <f>IF(ISBLANK(A526), "", B526 - E526 - F526 - G526)</f>
        <v/>
      </c>
      <c r="I526">
        <f>IF(ISBLANK(A526), "", D526 - XLOOKUP(A526, Inventory!A:A, Inventory!H:H, TODAY()))</f>
        <v/>
      </c>
    </row>
    <row r="527">
      <c r="E527">
        <f>IF(ISBLANK(A527), "", XLOOKUP(A527, Inventory!A:A, Inventory!E:E, 0))</f>
        <v/>
      </c>
      <c r="F527">
        <f>IF(ISBLANK(A527), "", (B527 * XLOOKUP(C527, 'Fees &amp; Postage Table'!A:A, 'Fees &amp; Postage Table'!C:C, 0)) + XLOOKUP(C527, 'Fees &amp; Postage Table'!A:A, 'Fees &amp; Postage Table'!B:B, 0))</f>
        <v/>
      </c>
      <c r="G527">
        <f>IF(ISBLANK(A527), "", XLOOKUP(C527, 'Fees &amp; Postage Table'!A:A, 'Fees &amp; Postage Table'!D:D, 0))</f>
        <v/>
      </c>
      <c r="H527">
        <f>IF(ISBLANK(A527), "", B527 - E527 - F527 - G527)</f>
        <v/>
      </c>
      <c r="I527">
        <f>IF(ISBLANK(A527), "", D527 - XLOOKUP(A527, Inventory!A:A, Inventory!H:H, TODAY()))</f>
        <v/>
      </c>
    </row>
    <row r="528">
      <c r="E528">
        <f>IF(ISBLANK(A528), "", XLOOKUP(A528, Inventory!A:A, Inventory!E:E, 0))</f>
        <v/>
      </c>
      <c r="F528">
        <f>IF(ISBLANK(A528), "", (B528 * XLOOKUP(C528, 'Fees &amp; Postage Table'!A:A, 'Fees &amp; Postage Table'!C:C, 0)) + XLOOKUP(C528, 'Fees &amp; Postage Table'!A:A, 'Fees &amp; Postage Table'!B:B, 0))</f>
        <v/>
      </c>
      <c r="G528">
        <f>IF(ISBLANK(A528), "", XLOOKUP(C528, 'Fees &amp; Postage Table'!A:A, 'Fees &amp; Postage Table'!D:D, 0))</f>
        <v/>
      </c>
      <c r="H528">
        <f>IF(ISBLANK(A528), "", B528 - E528 - F528 - G528)</f>
        <v/>
      </c>
      <c r="I528">
        <f>IF(ISBLANK(A528), "", D528 - XLOOKUP(A528, Inventory!A:A, Inventory!H:H, TODAY()))</f>
        <v/>
      </c>
    </row>
    <row r="529">
      <c r="E529">
        <f>IF(ISBLANK(A529), "", XLOOKUP(A529, Inventory!A:A, Inventory!E:E, 0))</f>
        <v/>
      </c>
      <c r="F529">
        <f>IF(ISBLANK(A529), "", (B529 * XLOOKUP(C529, 'Fees &amp; Postage Table'!A:A, 'Fees &amp; Postage Table'!C:C, 0)) + XLOOKUP(C529, 'Fees &amp; Postage Table'!A:A, 'Fees &amp; Postage Table'!B:B, 0))</f>
        <v/>
      </c>
      <c r="G529">
        <f>IF(ISBLANK(A529), "", XLOOKUP(C529, 'Fees &amp; Postage Table'!A:A, 'Fees &amp; Postage Table'!D:D, 0))</f>
        <v/>
      </c>
      <c r="H529">
        <f>IF(ISBLANK(A529), "", B529 - E529 - F529 - G529)</f>
        <v/>
      </c>
      <c r="I529">
        <f>IF(ISBLANK(A529), "", D529 - XLOOKUP(A529, Inventory!A:A, Inventory!H:H, TODAY()))</f>
        <v/>
      </c>
    </row>
    <row r="530">
      <c r="E530">
        <f>IF(ISBLANK(A530), "", XLOOKUP(A530, Inventory!A:A, Inventory!E:E, 0))</f>
        <v/>
      </c>
      <c r="F530">
        <f>IF(ISBLANK(A530), "", (B530 * XLOOKUP(C530, 'Fees &amp; Postage Table'!A:A, 'Fees &amp; Postage Table'!C:C, 0)) + XLOOKUP(C530, 'Fees &amp; Postage Table'!A:A, 'Fees &amp; Postage Table'!B:B, 0))</f>
        <v/>
      </c>
      <c r="G530">
        <f>IF(ISBLANK(A530), "", XLOOKUP(C530, 'Fees &amp; Postage Table'!A:A, 'Fees &amp; Postage Table'!D:D, 0))</f>
        <v/>
      </c>
      <c r="H530">
        <f>IF(ISBLANK(A530), "", B530 - E530 - F530 - G530)</f>
        <v/>
      </c>
      <c r="I530">
        <f>IF(ISBLANK(A530), "", D530 - XLOOKUP(A530, Inventory!A:A, Inventory!H:H, TODAY()))</f>
        <v/>
      </c>
    </row>
    <row r="531">
      <c r="E531">
        <f>IF(ISBLANK(A531), "", XLOOKUP(A531, Inventory!A:A, Inventory!E:E, 0))</f>
        <v/>
      </c>
      <c r="F531">
        <f>IF(ISBLANK(A531), "", (B531 * XLOOKUP(C531, 'Fees &amp; Postage Table'!A:A, 'Fees &amp; Postage Table'!C:C, 0)) + XLOOKUP(C531, 'Fees &amp; Postage Table'!A:A, 'Fees &amp; Postage Table'!B:B, 0))</f>
        <v/>
      </c>
      <c r="G531">
        <f>IF(ISBLANK(A531), "", XLOOKUP(C531, 'Fees &amp; Postage Table'!A:A, 'Fees &amp; Postage Table'!D:D, 0))</f>
        <v/>
      </c>
      <c r="H531">
        <f>IF(ISBLANK(A531), "", B531 - E531 - F531 - G531)</f>
        <v/>
      </c>
      <c r="I531">
        <f>IF(ISBLANK(A531), "", D531 - XLOOKUP(A531, Inventory!A:A, Inventory!H:H, TODAY()))</f>
        <v/>
      </c>
    </row>
    <row r="532">
      <c r="E532">
        <f>IF(ISBLANK(A532), "", XLOOKUP(A532, Inventory!A:A, Inventory!E:E, 0))</f>
        <v/>
      </c>
      <c r="F532">
        <f>IF(ISBLANK(A532), "", (B532 * XLOOKUP(C532, 'Fees &amp; Postage Table'!A:A, 'Fees &amp; Postage Table'!C:C, 0)) + XLOOKUP(C532, 'Fees &amp; Postage Table'!A:A, 'Fees &amp; Postage Table'!B:B, 0))</f>
        <v/>
      </c>
      <c r="G532">
        <f>IF(ISBLANK(A532), "", XLOOKUP(C532, 'Fees &amp; Postage Table'!A:A, 'Fees &amp; Postage Table'!D:D, 0))</f>
        <v/>
      </c>
      <c r="H532">
        <f>IF(ISBLANK(A532), "", B532 - E532 - F532 - G532)</f>
        <v/>
      </c>
      <c r="I532">
        <f>IF(ISBLANK(A532), "", D532 - XLOOKUP(A532, Inventory!A:A, Inventory!H:H, TODAY()))</f>
        <v/>
      </c>
    </row>
    <row r="533">
      <c r="E533">
        <f>IF(ISBLANK(A533), "", XLOOKUP(A533, Inventory!A:A, Inventory!E:E, 0))</f>
        <v/>
      </c>
      <c r="F533">
        <f>IF(ISBLANK(A533), "", (B533 * XLOOKUP(C533, 'Fees &amp; Postage Table'!A:A, 'Fees &amp; Postage Table'!C:C, 0)) + XLOOKUP(C533, 'Fees &amp; Postage Table'!A:A, 'Fees &amp; Postage Table'!B:B, 0))</f>
        <v/>
      </c>
      <c r="G533">
        <f>IF(ISBLANK(A533), "", XLOOKUP(C533, 'Fees &amp; Postage Table'!A:A, 'Fees &amp; Postage Table'!D:D, 0))</f>
        <v/>
      </c>
      <c r="H533">
        <f>IF(ISBLANK(A533), "", B533 - E533 - F533 - G533)</f>
        <v/>
      </c>
      <c r="I533">
        <f>IF(ISBLANK(A533), "", D533 - XLOOKUP(A533, Inventory!A:A, Inventory!H:H, TODAY()))</f>
        <v/>
      </c>
    </row>
    <row r="534">
      <c r="E534">
        <f>IF(ISBLANK(A534), "", XLOOKUP(A534, Inventory!A:A, Inventory!E:E, 0))</f>
        <v/>
      </c>
      <c r="F534">
        <f>IF(ISBLANK(A534), "", (B534 * XLOOKUP(C534, 'Fees &amp; Postage Table'!A:A, 'Fees &amp; Postage Table'!C:C, 0)) + XLOOKUP(C534, 'Fees &amp; Postage Table'!A:A, 'Fees &amp; Postage Table'!B:B, 0))</f>
        <v/>
      </c>
      <c r="G534">
        <f>IF(ISBLANK(A534), "", XLOOKUP(C534, 'Fees &amp; Postage Table'!A:A, 'Fees &amp; Postage Table'!D:D, 0))</f>
        <v/>
      </c>
      <c r="H534">
        <f>IF(ISBLANK(A534), "", B534 - E534 - F534 - G534)</f>
        <v/>
      </c>
      <c r="I534">
        <f>IF(ISBLANK(A534), "", D534 - XLOOKUP(A534, Inventory!A:A, Inventory!H:H, TODAY()))</f>
        <v/>
      </c>
    </row>
    <row r="535">
      <c r="E535">
        <f>IF(ISBLANK(A535), "", XLOOKUP(A535, Inventory!A:A, Inventory!E:E, 0))</f>
        <v/>
      </c>
      <c r="F535">
        <f>IF(ISBLANK(A535), "", (B535 * XLOOKUP(C535, 'Fees &amp; Postage Table'!A:A, 'Fees &amp; Postage Table'!C:C, 0)) + XLOOKUP(C535, 'Fees &amp; Postage Table'!A:A, 'Fees &amp; Postage Table'!B:B, 0))</f>
        <v/>
      </c>
      <c r="G535">
        <f>IF(ISBLANK(A535), "", XLOOKUP(C535, 'Fees &amp; Postage Table'!A:A, 'Fees &amp; Postage Table'!D:D, 0))</f>
        <v/>
      </c>
      <c r="H535">
        <f>IF(ISBLANK(A535), "", B535 - E535 - F535 - G535)</f>
        <v/>
      </c>
      <c r="I535">
        <f>IF(ISBLANK(A535), "", D535 - XLOOKUP(A535, Inventory!A:A, Inventory!H:H, TODAY()))</f>
        <v/>
      </c>
    </row>
    <row r="536">
      <c r="E536">
        <f>IF(ISBLANK(A536), "", XLOOKUP(A536, Inventory!A:A, Inventory!E:E, 0))</f>
        <v/>
      </c>
      <c r="F536">
        <f>IF(ISBLANK(A536), "", (B536 * XLOOKUP(C536, 'Fees &amp; Postage Table'!A:A, 'Fees &amp; Postage Table'!C:C, 0)) + XLOOKUP(C536, 'Fees &amp; Postage Table'!A:A, 'Fees &amp; Postage Table'!B:B, 0))</f>
        <v/>
      </c>
      <c r="G536">
        <f>IF(ISBLANK(A536), "", XLOOKUP(C536, 'Fees &amp; Postage Table'!A:A, 'Fees &amp; Postage Table'!D:D, 0))</f>
        <v/>
      </c>
      <c r="H536">
        <f>IF(ISBLANK(A536), "", B536 - E536 - F536 - G536)</f>
        <v/>
      </c>
      <c r="I536">
        <f>IF(ISBLANK(A536), "", D536 - XLOOKUP(A536, Inventory!A:A, Inventory!H:H, TODAY()))</f>
        <v/>
      </c>
    </row>
    <row r="537">
      <c r="E537">
        <f>IF(ISBLANK(A537), "", XLOOKUP(A537, Inventory!A:A, Inventory!E:E, 0))</f>
        <v/>
      </c>
      <c r="F537">
        <f>IF(ISBLANK(A537), "", (B537 * XLOOKUP(C537, 'Fees &amp; Postage Table'!A:A, 'Fees &amp; Postage Table'!C:C, 0)) + XLOOKUP(C537, 'Fees &amp; Postage Table'!A:A, 'Fees &amp; Postage Table'!B:B, 0))</f>
        <v/>
      </c>
      <c r="G537">
        <f>IF(ISBLANK(A537), "", XLOOKUP(C537, 'Fees &amp; Postage Table'!A:A, 'Fees &amp; Postage Table'!D:D, 0))</f>
        <v/>
      </c>
      <c r="H537">
        <f>IF(ISBLANK(A537), "", B537 - E537 - F537 - G537)</f>
        <v/>
      </c>
      <c r="I537">
        <f>IF(ISBLANK(A537), "", D537 - XLOOKUP(A537, Inventory!A:A, Inventory!H:H, TODAY()))</f>
        <v/>
      </c>
    </row>
    <row r="538">
      <c r="E538">
        <f>IF(ISBLANK(A538), "", XLOOKUP(A538, Inventory!A:A, Inventory!E:E, 0))</f>
        <v/>
      </c>
      <c r="F538">
        <f>IF(ISBLANK(A538), "", (B538 * XLOOKUP(C538, 'Fees &amp; Postage Table'!A:A, 'Fees &amp; Postage Table'!C:C, 0)) + XLOOKUP(C538, 'Fees &amp; Postage Table'!A:A, 'Fees &amp; Postage Table'!B:B, 0))</f>
        <v/>
      </c>
      <c r="G538">
        <f>IF(ISBLANK(A538), "", XLOOKUP(C538, 'Fees &amp; Postage Table'!A:A, 'Fees &amp; Postage Table'!D:D, 0))</f>
        <v/>
      </c>
      <c r="H538">
        <f>IF(ISBLANK(A538), "", B538 - E538 - F538 - G538)</f>
        <v/>
      </c>
      <c r="I538">
        <f>IF(ISBLANK(A538), "", D538 - XLOOKUP(A538, Inventory!A:A, Inventory!H:H, TODAY()))</f>
        <v/>
      </c>
    </row>
    <row r="539">
      <c r="E539">
        <f>IF(ISBLANK(A539), "", XLOOKUP(A539, Inventory!A:A, Inventory!E:E, 0))</f>
        <v/>
      </c>
      <c r="F539">
        <f>IF(ISBLANK(A539), "", (B539 * XLOOKUP(C539, 'Fees &amp; Postage Table'!A:A, 'Fees &amp; Postage Table'!C:C, 0)) + XLOOKUP(C539, 'Fees &amp; Postage Table'!A:A, 'Fees &amp; Postage Table'!B:B, 0))</f>
        <v/>
      </c>
      <c r="G539">
        <f>IF(ISBLANK(A539), "", XLOOKUP(C539, 'Fees &amp; Postage Table'!A:A, 'Fees &amp; Postage Table'!D:D, 0))</f>
        <v/>
      </c>
      <c r="H539">
        <f>IF(ISBLANK(A539), "", B539 - E539 - F539 - G539)</f>
        <v/>
      </c>
      <c r="I539">
        <f>IF(ISBLANK(A539), "", D539 - XLOOKUP(A539, Inventory!A:A, Inventory!H:H, TODAY()))</f>
        <v/>
      </c>
    </row>
    <row r="540">
      <c r="E540">
        <f>IF(ISBLANK(A540), "", XLOOKUP(A540, Inventory!A:A, Inventory!E:E, 0))</f>
        <v/>
      </c>
      <c r="F540">
        <f>IF(ISBLANK(A540), "", (B540 * XLOOKUP(C540, 'Fees &amp; Postage Table'!A:A, 'Fees &amp; Postage Table'!C:C, 0)) + XLOOKUP(C540, 'Fees &amp; Postage Table'!A:A, 'Fees &amp; Postage Table'!B:B, 0))</f>
        <v/>
      </c>
      <c r="G540">
        <f>IF(ISBLANK(A540), "", XLOOKUP(C540, 'Fees &amp; Postage Table'!A:A, 'Fees &amp; Postage Table'!D:D, 0))</f>
        <v/>
      </c>
      <c r="H540">
        <f>IF(ISBLANK(A540), "", B540 - E540 - F540 - G540)</f>
        <v/>
      </c>
      <c r="I540">
        <f>IF(ISBLANK(A540), "", D540 - XLOOKUP(A540, Inventory!A:A, Inventory!H:H, TODAY()))</f>
        <v/>
      </c>
    </row>
    <row r="541">
      <c r="E541">
        <f>IF(ISBLANK(A541), "", XLOOKUP(A541, Inventory!A:A, Inventory!E:E, 0))</f>
        <v/>
      </c>
      <c r="F541">
        <f>IF(ISBLANK(A541), "", (B541 * XLOOKUP(C541, 'Fees &amp; Postage Table'!A:A, 'Fees &amp; Postage Table'!C:C, 0)) + XLOOKUP(C541, 'Fees &amp; Postage Table'!A:A, 'Fees &amp; Postage Table'!B:B, 0))</f>
        <v/>
      </c>
      <c r="G541">
        <f>IF(ISBLANK(A541), "", XLOOKUP(C541, 'Fees &amp; Postage Table'!A:A, 'Fees &amp; Postage Table'!D:D, 0))</f>
        <v/>
      </c>
      <c r="H541">
        <f>IF(ISBLANK(A541), "", B541 - E541 - F541 - G541)</f>
        <v/>
      </c>
      <c r="I541">
        <f>IF(ISBLANK(A541), "", D541 - XLOOKUP(A541, Inventory!A:A, Inventory!H:H, TODAY()))</f>
        <v/>
      </c>
    </row>
    <row r="542">
      <c r="E542">
        <f>IF(ISBLANK(A542), "", XLOOKUP(A542, Inventory!A:A, Inventory!E:E, 0))</f>
        <v/>
      </c>
      <c r="F542">
        <f>IF(ISBLANK(A542), "", (B542 * XLOOKUP(C542, 'Fees &amp; Postage Table'!A:A, 'Fees &amp; Postage Table'!C:C, 0)) + XLOOKUP(C542, 'Fees &amp; Postage Table'!A:A, 'Fees &amp; Postage Table'!B:B, 0))</f>
        <v/>
      </c>
      <c r="G542">
        <f>IF(ISBLANK(A542), "", XLOOKUP(C542, 'Fees &amp; Postage Table'!A:A, 'Fees &amp; Postage Table'!D:D, 0))</f>
        <v/>
      </c>
      <c r="H542">
        <f>IF(ISBLANK(A542), "", B542 - E542 - F542 - G542)</f>
        <v/>
      </c>
      <c r="I542">
        <f>IF(ISBLANK(A542), "", D542 - XLOOKUP(A542, Inventory!A:A, Inventory!H:H, TODAY()))</f>
        <v/>
      </c>
    </row>
    <row r="543">
      <c r="E543">
        <f>IF(ISBLANK(A543), "", XLOOKUP(A543, Inventory!A:A, Inventory!E:E, 0))</f>
        <v/>
      </c>
      <c r="F543">
        <f>IF(ISBLANK(A543), "", (B543 * XLOOKUP(C543, 'Fees &amp; Postage Table'!A:A, 'Fees &amp; Postage Table'!C:C, 0)) + XLOOKUP(C543, 'Fees &amp; Postage Table'!A:A, 'Fees &amp; Postage Table'!B:B, 0))</f>
        <v/>
      </c>
      <c r="G543">
        <f>IF(ISBLANK(A543), "", XLOOKUP(C543, 'Fees &amp; Postage Table'!A:A, 'Fees &amp; Postage Table'!D:D, 0))</f>
        <v/>
      </c>
      <c r="H543">
        <f>IF(ISBLANK(A543), "", B543 - E543 - F543 - G543)</f>
        <v/>
      </c>
      <c r="I543">
        <f>IF(ISBLANK(A543), "", D543 - XLOOKUP(A543, Inventory!A:A, Inventory!H:H, TODAY()))</f>
        <v/>
      </c>
    </row>
    <row r="544">
      <c r="E544">
        <f>IF(ISBLANK(A544), "", XLOOKUP(A544, Inventory!A:A, Inventory!E:E, 0))</f>
        <v/>
      </c>
      <c r="F544">
        <f>IF(ISBLANK(A544), "", (B544 * XLOOKUP(C544, 'Fees &amp; Postage Table'!A:A, 'Fees &amp; Postage Table'!C:C, 0)) + XLOOKUP(C544, 'Fees &amp; Postage Table'!A:A, 'Fees &amp; Postage Table'!B:B, 0))</f>
        <v/>
      </c>
      <c r="G544">
        <f>IF(ISBLANK(A544), "", XLOOKUP(C544, 'Fees &amp; Postage Table'!A:A, 'Fees &amp; Postage Table'!D:D, 0))</f>
        <v/>
      </c>
      <c r="H544">
        <f>IF(ISBLANK(A544), "", B544 - E544 - F544 - G544)</f>
        <v/>
      </c>
      <c r="I544">
        <f>IF(ISBLANK(A544), "", D544 - XLOOKUP(A544, Inventory!A:A, Inventory!H:H, TODAY()))</f>
        <v/>
      </c>
    </row>
    <row r="545">
      <c r="E545">
        <f>IF(ISBLANK(A545), "", XLOOKUP(A545, Inventory!A:A, Inventory!E:E, 0))</f>
        <v/>
      </c>
      <c r="F545">
        <f>IF(ISBLANK(A545), "", (B545 * XLOOKUP(C545, 'Fees &amp; Postage Table'!A:A, 'Fees &amp; Postage Table'!C:C, 0)) + XLOOKUP(C545, 'Fees &amp; Postage Table'!A:A, 'Fees &amp; Postage Table'!B:B, 0))</f>
        <v/>
      </c>
      <c r="G545">
        <f>IF(ISBLANK(A545), "", XLOOKUP(C545, 'Fees &amp; Postage Table'!A:A, 'Fees &amp; Postage Table'!D:D, 0))</f>
        <v/>
      </c>
      <c r="H545">
        <f>IF(ISBLANK(A545), "", B545 - E545 - F545 - G545)</f>
        <v/>
      </c>
      <c r="I545">
        <f>IF(ISBLANK(A545), "", D545 - XLOOKUP(A545, Inventory!A:A, Inventory!H:H, TODAY()))</f>
        <v/>
      </c>
    </row>
    <row r="546">
      <c r="E546">
        <f>IF(ISBLANK(A546), "", XLOOKUP(A546, Inventory!A:A, Inventory!E:E, 0))</f>
        <v/>
      </c>
      <c r="F546">
        <f>IF(ISBLANK(A546), "", (B546 * XLOOKUP(C546, 'Fees &amp; Postage Table'!A:A, 'Fees &amp; Postage Table'!C:C, 0)) + XLOOKUP(C546, 'Fees &amp; Postage Table'!A:A, 'Fees &amp; Postage Table'!B:B, 0))</f>
        <v/>
      </c>
      <c r="G546">
        <f>IF(ISBLANK(A546), "", XLOOKUP(C546, 'Fees &amp; Postage Table'!A:A, 'Fees &amp; Postage Table'!D:D, 0))</f>
        <v/>
      </c>
      <c r="H546">
        <f>IF(ISBLANK(A546), "", B546 - E546 - F546 - G546)</f>
        <v/>
      </c>
      <c r="I546">
        <f>IF(ISBLANK(A546), "", D546 - XLOOKUP(A546, Inventory!A:A, Inventory!H:H, TODAY()))</f>
        <v/>
      </c>
    </row>
    <row r="547">
      <c r="E547">
        <f>IF(ISBLANK(A547), "", XLOOKUP(A547, Inventory!A:A, Inventory!E:E, 0))</f>
        <v/>
      </c>
      <c r="F547">
        <f>IF(ISBLANK(A547), "", (B547 * XLOOKUP(C547, 'Fees &amp; Postage Table'!A:A, 'Fees &amp; Postage Table'!C:C, 0)) + XLOOKUP(C547, 'Fees &amp; Postage Table'!A:A, 'Fees &amp; Postage Table'!B:B, 0))</f>
        <v/>
      </c>
      <c r="G547">
        <f>IF(ISBLANK(A547), "", XLOOKUP(C547, 'Fees &amp; Postage Table'!A:A, 'Fees &amp; Postage Table'!D:D, 0))</f>
        <v/>
      </c>
      <c r="H547">
        <f>IF(ISBLANK(A547), "", B547 - E547 - F547 - G547)</f>
        <v/>
      </c>
      <c r="I547">
        <f>IF(ISBLANK(A547), "", D547 - XLOOKUP(A547, Inventory!A:A, Inventory!H:H, TODAY()))</f>
        <v/>
      </c>
    </row>
    <row r="548">
      <c r="E548">
        <f>IF(ISBLANK(A548), "", XLOOKUP(A548, Inventory!A:A, Inventory!E:E, 0))</f>
        <v/>
      </c>
      <c r="F548">
        <f>IF(ISBLANK(A548), "", (B548 * XLOOKUP(C548, 'Fees &amp; Postage Table'!A:A, 'Fees &amp; Postage Table'!C:C, 0)) + XLOOKUP(C548, 'Fees &amp; Postage Table'!A:A, 'Fees &amp; Postage Table'!B:B, 0))</f>
        <v/>
      </c>
      <c r="G548">
        <f>IF(ISBLANK(A548), "", XLOOKUP(C548, 'Fees &amp; Postage Table'!A:A, 'Fees &amp; Postage Table'!D:D, 0))</f>
        <v/>
      </c>
      <c r="H548">
        <f>IF(ISBLANK(A548), "", B548 - E548 - F548 - G548)</f>
        <v/>
      </c>
      <c r="I548">
        <f>IF(ISBLANK(A548), "", D548 - XLOOKUP(A548, Inventory!A:A, Inventory!H:H, TODAY()))</f>
        <v/>
      </c>
    </row>
    <row r="549">
      <c r="E549">
        <f>IF(ISBLANK(A549), "", XLOOKUP(A549, Inventory!A:A, Inventory!E:E, 0))</f>
        <v/>
      </c>
      <c r="F549">
        <f>IF(ISBLANK(A549), "", (B549 * XLOOKUP(C549, 'Fees &amp; Postage Table'!A:A, 'Fees &amp; Postage Table'!C:C, 0)) + XLOOKUP(C549, 'Fees &amp; Postage Table'!A:A, 'Fees &amp; Postage Table'!B:B, 0))</f>
        <v/>
      </c>
      <c r="G549">
        <f>IF(ISBLANK(A549), "", XLOOKUP(C549, 'Fees &amp; Postage Table'!A:A, 'Fees &amp; Postage Table'!D:D, 0))</f>
        <v/>
      </c>
      <c r="H549">
        <f>IF(ISBLANK(A549), "", B549 - E549 - F549 - G549)</f>
        <v/>
      </c>
      <c r="I549">
        <f>IF(ISBLANK(A549), "", D549 - XLOOKUP(A549, Inventory!A:A, Inventory!H:H, TODAY()))</f>
        <v/>
      </c>
    </row>
    <row r="550">
      <c r="E550">
        <f>IF(ISBLANK(A550), "", XLOOKUP(A550, Inventory!A:A, Inventory!E:E, 0))</f>
        <v/>
      </c>
      <c r="F550">
        <f>IF(ISBLANK(A550), "", (B550 * XLOOKUP(C550, 'Fees &amp; Postage Table'!A:A, 'Fees &amp; Postage Table'!C:C, 0)) + XLOOKUP(C550, 'Fees &amp; Postage Table'!A:A, 'Fees &amp; Postage Table'!B:B, 0))</f>
        <v/>
      </c>
      <c r="G550">
        <f>IF(ISBLANK(A550), "", XLOOKUP(C550, 'Fees &amp; Postage Table'!A:A, 'Fees &amp; Postage Table'!D:D, 0))</f>
        <v/>
      </c>
      <c r="H550">
        <f>IF(ISBLANK(A550), "", B550 - E550 - F550 - G550)</f>
        <v/>
      </c>
      <c r="I550">
        <f>IF(ISBLANK(A550), "", D550 - XLOOKUP(A550, Inventory!A:A, Inventory!H:H, TODAY()))</f>
        <v/>
      </c>
    </row>
    <row r="551">
      <c r="E551">
        <f>IF(ISBLANK(A551), "", XLOOKUP(A551, Inventory!A:A, Inventory!E:E, 0))</f>
        <v/>
      </c>
      <c r="F551">
        <f>IF(ISBLANK(A551), "", (B551 * XLOOKUP(C551, 'Fees &amp; Postage Table'!A:A, 'Fees &amp; Postage Table'!C:C, 0)) + XLOOKUP(C551, 'Fees &amp; Postage Table'!A:A, 'Fees &amp; Postage Table'!B:B, 0))</f>
        <v/>
      </c>
      <c r="G551">
        <f>IF(ISBLANK(A551), "", XLOOKUP(C551, 'Fees &amp; Postage Table'!A:A, 'Fees &amp; Postage Table'!D:D, 0))</f>
        <v/>
      </c>
      <c r="H551">
        <f>IF(ISBLANK(A551), "", B551 - E551 - F551 - G551)</f>
        <v/>
      </c>
      <c r="I551">
        <f>IF(ISBLANK(A551), "", D551 - XLOOKUP(A551, Inventory!A:A, Inventory!H:H, TODAY()))</f>
        <v/>
      </c>
    </row>
    <row r="552">
      <c r="E552">
        <f>IF(ISBLANK(A552), "", XLOOKUP(A552, Inventory!A:A, Inventory!E:E, 0))</f>
        <v/>
      </c>
      <c r="F552">
        <f>IF(ISBLANK(A552), "", (B552 * XLOOKUP(C552, 'Fees &amp; Postage Table'!A:A, 'Fees &amp; Postage Table'!C:C, 0)) + XLOOKUP(C552, 'Fees &amp; Postage Table'!A:A, 'Fees &amp; Postage Table'!B:B, 0))</f>
        <v/>
      </c>
      <c r="G552">
        <f>IF(ISBLANK(A552), "", XLOOKUP(C552, 'Fees &amp; Postage Table'!A:A, 'Fees &amp; Postage Table'!D:D, 0))</f>
        <v/>
      </c>
      <c r="H552">
        <f>IF(ISBLANK(A552), "", B552 - E552 - F552 - G552)</f>
        <v/>
      </c>
      <c r="I552">
        <f>IF(ISBLANK(A552), "", D552 - XLOOKUP(A552, Inventory!A:A, Inventory!H:H, TODAY()))</f>
        <v/>
      </c>
    </row>
    <row r="553">
      <c r="E553">
        <f>IF(ISBLANK(A553), "", XLOOKUP(A553, Inventory!A:A, Inventory!E:E, 0))</f>
        <v/>
      </c>
      <c r="F553">
        <f>IF(ISBLANK(A553), "", (B553 * XLOOKUP(C553, 'Fees &amp; Postage Table'!A:A, 'Fees &amp; Postage Table'!C:C, 0)) + XLOOKUP(C553, 'Fees &amp; Postage Table'!A:A, 'Fees &amp; Postage Table'!B:B, 0))</f>
        <v/>
      </c>
      <c r="G553">
        <f>IF(ISBLANK(A553), "", XLOOKUP(C553, 'Fees &amp; Postage Table'!A:A, 'Fees &amp; Postage Table'!D:D, 0))</f>
        <v/>
      </c>
      <c r="H553">
        <f>IF(ISBLANK(A553), "", B553 - E553 - F553 - G553)</f>
        <v/>
      </c>
      <c r="I553">
        <f>IF(ISBLANK(A553), "", D553 - XLOOKUP(A553, Inventory!A:A, Inventory!H:H, TODAY()))</f>
        <v/>
      </c>
    </row>
    <row r="554">
      <c r="E554">
        <f>IF(ISBLANK(A554), "", XLOOKUP(A554, Inventory!A:A, Inventory!E:E, 0))</f>
        <v/>
      </c>
      <c r="F554">
        <f>IF(ISBLANK(A554), "", (B554 * XLOOKUP(C554, 'Fees &amp; Postage Table'!A:A, 'Fees &amp; Postage Table'!C:C, 0)) + XLOOKUP(C554, 'Fees &amp; Postage Table'!A:A, 'Fees &amp; Postage Table'!B:B, 0))</f>
        <v/>
      </c>
      <c r="G554">
        <f>IF(ISBLANK(A554), "", XLOOKUP(C554, 'Fees &amp; Postage Table'!A:A, 'Fees &amp; Postage Table'!D:D, 0))</f>
        <v/>
      </c>
      <c r="H554">
        <f>IF(ISBLANK(A554), "", B554 - E554 - F554 - G554)</f>
        <v/>
      </c>
      <c r="I554">
        <f>IF(ISBLANK(A554), "", D554 - XLOOKUP(A554, Inventory!A:A, Inventory!H:H, TODAY()))</f>
        <v/>
      </c>
    </row>
    <row r="555">
      <c r="E555">
        <f>IF(ISBLANK(A555), "", XLOOKUP(A555, Inventory!A:A, Inventory!E:E, 0))</f>
        <v/>
      </c>
      <c r="F555">
        <f>IF(ISBLANK(A555), "", (B555 * XLOOKUP(C555, 'Fees &amp; Postage Table'!A:A, 'Fees &amp; Postage Table'!C:C, 0)) + XLOOKUP(C555, 'Fees &amp; Postage Table'!A:A, 'Fees &amp; Postage Table'!B:B, 0))</f>
        <v/>
      </c>
      <c r="G555">
        <f>IF(ISBLANK(A555), "", XLOOKUP(C555, 'Fees &amp; Postage Table'!A:A, 'Fees &amp; Postage Table'!D:D, 0))</f>
        <v/>
      </c>
      <c r="H555">
        <f>IF(ISBLANK(A555), "", B555 - E555 - F555 - G555)</f>
        <v/>
      </c>
      <c r="I555">
        <f>IF(ISBLANK(A555), "", D555 - XLOOKUP(A555, Inventory!A:A, Inventory!H:H, TODAY()))</f>
        <v/>
      </c>
    </row>
    <row r="556">
      <c r="E556">
        <f>IF(ISBLANK(A556), "", XLOOKUP(A556, Inventory!A:A, Inventory!E:E, 0))</f>
        <v/>
      </c>
      <c r="F556">
        <f>IF(ISBLANK(A556), "", (B556 * XLOOKUP(C556, 'Fees &amp; Postage Table'!A:A, 'Fees &amp; Postage Table'!C:C, 0)) + XLOOKUP(C556, 'Fees &amp; Postage Table'!A:A, 'Fees &amp; Postage Table'!B:B, 0))</f>
        <v/>
      </c>
      <c r="G556">
        <f>IF(ISBLANK(A556), "", XLOOKUP(C556, 'Fees &amp; Postage Table'!A:A, 'Fees &amp; Postage Table'!D:D, 0))</f>
        <v/>
      </c>
      <c r="H556">
        <f>IF(ISBLANK(A556), "", B556 - E556 - F556 - G556)</f>
        <v/>
      </c>
      <c r="I556">
        <f>IF(ISBLANK(A556), "", D556 - XLOOKUP(A556, Inventory!A:A, Inventory!H:H, TODAY()))</f>
        <v/>
      </c>
    </row>
    <row r="557">
      <c r="E557">
        <f>IF(ISBLANK(A557), "", XLOOKUP(A557, Inventory!A:A, Inventory!E:E, 0))</f>
        <v/>
      </c>
      <c r="F557">
        <f>IF(ISBLANK(A557), "", (B557 * XLOOKUP(C557, 'Fees &amp; Postage Table'!A:A, 'Fees &amp; Postage Table'!C:C, 0)) + XLOOKUP(C557, 'Fees &amp; Postage Table'!A:A, 'Fees &amp; Postage Table'!B:B, 0))</f>
        <v/>
      </c>
      <c r="G557">
        <f>IF(ISBLANK(A557), "", XLOOKUP(C557, 'Fees &amp; Postage Table'!A:A, 'Fees &amp; Postage Table'!D:D, 0))</f>
        <v/>
      </c>
      <c r="H557">
        <f>IF(ISBLANK(A557), "", B557 - E557 - F557 - G557)</f>
        <v/>
      </c>
      <c r="I557">
        <f>IF(ISBLANK(A557), "", D557 - XLOOKUP(A557, Inventory!A:A, Inventory!H:H, TODAY()))</f>
        <v/>
      </c>
    </row>
    <row r="558">
      <c r="E558">
        <f>IF(ISBLANK(A558), "", XLOOKUP(A558, Inventory!A:A, Inventory!E:E, 0))</f>
        <v/>
      </c>
      <c r="F558">
        <f>IF(ISBLANK(A558), "", (B558 * XLOOKUP(C558, 'Fees &amp; Postage Table'!A:A, 'Fees &amp; Postage Table'!C:C, 0)) + XLOOKUP(C558, 'Fees &amp; Postage Table'!A:A, 'Fees &amp; Postage Table'!B:B, 0))</f>
        <v/>
      </c>
      <c r="G558">
        <f>IF(ISBLANK(A558), "", XLOOKUP(C558, 'Fees &amp; Postage Table'!A:A, 'Fees &amp; Postage Table'!D:D, 0))</f>
        <v/>
      </c>
      <c r="H558">
        <f>IF(ISBLANK(A558), "", B558 - E558 - F558 - G558)</f>
        <v/>
      </c>
      <c r="I558">
        <f>IF(ISBLANK(A558), "", D558 - XLOOKUP(A558, Inventory!A:A, Inventory!H:H, TODAY()))</f>
        <v/>
      </c>
    </row>
    <row r="559">
      <c r="E559">
        <f>IF(ISBLANK(A559), "", XLOOKUP(A559, Inventory!A:A, Inventory!E:E, 0))</f>
        <v/>
      </c>
      <c r="F559">
        <f>IF(ISBLANK(A559), "", (B559 * XLOOKUP(C559, 'Fees &amp; Postage Table'!A:A, 'Fees &amp; Postage Table'!C:C, 0)) + XLOOKUP(C559, 'Fees &amp; Postage Table'!A:A, 'Fees &amp; Postage Table'!B:B, 0))</f>
        <v/>
      </c>
      <c r="G559">
        <f>IF(ISBLANK(A559), "", XLOOKUP(C559, 'Fees &amp; Postage Table'!A:A, 'Fees &amp; Postage Table'!D:D, 0))</f>
        <v/>
      </c>
      <c r="H559">
        <f>IF(ISBLANK(A559), "", B559 - E559 - F559 - G559)</f>
        <v/>
      </c>
      <c r="I559">
        <f>IF(ISBLANK(A559), "", D559 - XLOOKUP(A559, Inventory!A:A, Inventory!H:H, TODAY()))</f>
        <v/>
      </c>
    </row>
    <row r="560">
      <c r="E560">
        <f>IF(ISBLANK(A560), "", XLOOKUP(A560, Inventory!A:A, Inventory!E:E, 0))</f>
        <v/>
      </c>
      <c r="F560">
        <f>IF(ISBLANK(A560), "", (B560 * XLOOKUP(C560, 'Fees &amp; Postage Table'!A:A, 'Fees &amp; Postage Table'!C:C, 0)) + XLOOKUP(C560, 'Fees &amp; Postage Table'!A:A, 'Fees &amp; Postage Table'!B:B, 0))</f>
        <v/>
      </c>
      <c r="G560">
        <f>IF(ISBLANK(A560), "", XLOOKUP(C560, 'Fees &amp; Postage Table'!A:A, 'Fees &amp; Postage Table'!D:D, 0))</f>
        <v/>
      </c>
      <c r="H560">
        <f>IF(ISBLANK(A560), "", B560 - E560 - F560 - G560)</f>
        <v/>
      </c>
      <c r="I560">
        <f>IF(ISBLANK(A560), "", D560 - XLOOKUP(A560, Inventory!A:A, Inventory!H:H, TODAY()))</f>
        <v/>
      </c>
    </row>
    <row r="561">
      <c r="E561">
        <f>IF(ISBLANK(A561), "", XLOOKUP(A561, Inventory!A:A, Inventory!E:E, 0))</f>
        <v/>
      </c>
      <c r="F561">
        <f>IF(ISBLANK(A561), "", (B561 * XLOOKUP(C561, 'Fees &amp; Postage Table'!A:A, 'Fees &amp; Postage Table'!C:C, 0)) + XLOOKUP(C561, 'Fees &amp; Postage Table'!A:A, 'Fees &amp; Postage Table'!B:B, 0))</f>
        <v/>
      </c>
      <c r="G561">
        <f>IF(ISBLANK(A561), "", XLOOKUP(C561, 'Fees &amp; Postage Table'!A:A, 'Fees &amp; Postage Table'!D:D, 0))</f>
        <v/>
      </c>
      <c r="H561">
        <f>IF(ISBLANK(A561), "", B561 - E561 - F561 - G561)</f>
        <v/>
      </c>
      <c r="I561">
        <f>IF(ISBLANK(A561), "", D561 - XLOOKUP(A561, Inventory!A:A, Inventory!H:H, TODAY()))</f>
        <v/>
      </c>
    </row>
    <row r="562">
      <c r="E562">
        <f>IF(ISBLANK(A562), "", XLOOKUP(A562, Inventory!A:A, Inventory!E:E, 0))</f>
        <v/>
      </c>
      <c r="F562">
        <f>IF(ISBLANK(A562), "", (B562 * XLOOKUP(C562, 'Fees &amp; Postage Table'!A:A, 'Fees &amp; Postage Table'!C:C, 0)) + XLOOKUP(C562, 'Fees &amp; Postage Table'!A:A, 'Fees &amp; Postage Table'!B:B, 0))</f>
        <v/>
      </c>
      <c r="G562">
        <f>IF(ISBLANK(A562), "", XLOOKUP(C562, 'Fees &amp; Postage Table'!A:A, 'Fees &amp; Postage Table'!D:D, 0))</f>
        <v/>
      </c>
      <c r="H562">
        <f>IF(ISBLANK(A562), "", B562 - E562 - F562 - G562)</f>
        <v/>
      </c>
      <c r="I562">
        <f>IF(ISBLANK(A562), "", D562 - XLOOKUP(A562, Inventory!A:A, Inventory!H:H, TODAY()))</f>
        <v/>
      </c>
    </row>
    <row r="563">
      <c r="E563">
        <f>IF(ISBLANK(A563), "", XLOOKUP(A563, Inventory!A:A, Inventory!E:E, 0))</f>
        <v/>
      </c>
      <c r="F563">
        <f>IF(ISBLANK(A563), "", (B563 * XLOOKUP(C563, 'Fees &amp; Postage Table'!A:A, 'Fees &amp; Postage Table'!C:C, 0)) + XLOOKUP(C563, 'Fees &amp; Postage Table'!A:A, 'Fees &amp; Postage Table'!B:B, 0))</f>
        <v/>
      </c>
      <c r="G563">
        <f>IF(ISBLANK(A563), "", XLOOKUP(C563, 'Fees &amp; Postage Table'!A:A, 'Fees &amp; Postage Table'!D:D, 0))</f>
        <v/>
      </c>
      <c r="H563">
        <f>IF(ISBLANK(A563), "", B563 - E563 - F563 - G563)</f>
        <v/>
      </c>
      <c r="I563">
        <f>IF(ISBLANK(A563), "", D563 - XLOOKUP(A563, Inventory!A:A, Inventory!H:H, TODAY()))</f>
        <v/>
      </c>
    </row>
    <row r="564">
      <c r="E564">
        <f>IF(ISBLANK(A564), "", XLOOKUP(A564, Inventory!A:A, Inventory!E:E, 0))</f>
        <v/>
      </c>
      <c r="F564">
        <f>IF(ISBLANK(A564), "", (B564 * XLOOKUP(C564, 'Fees &amp; Postage Table'!A:A, 'Fees &amp; Postage Table'!C:C, 0)) + XLOOKUP(C564, 'Fees &amp; Postage Table'!A:A, 'Fees &amp; Postage Table'!B:B, 0))</f>
        <v/>
      </c>
      <c r="G564">
        <f>IF(ISBLANK(A564), "", XLOOKUP(C564, 'Fees &amp; Postage Table'!A:A, 'Fees &amp; Postage Table'!D:D, 0))</f>
        <v/>
      </c>
      <c r="H564">
        <f>IF(ISBLANK(A564), "", B564 - E564 - F564 - G564)</f>
        <v/>
      </c>
      <c r="I564">
        <f>IF(ISBLANK(A564), "", D564 - XLOOKUP(A564, Inventory!A:A, Inventory!H:H, TODAY()))</f>
        <v/>
      </c>
    </row>
    <row r="565">
      <c r="E565">
        <f>IF(ISBLANK(A565), "", XLOOKUP(A565, Inventory!A:A, Inventory!E:E, 0))</f>
        <v/>
      </c>
      <c r="F565">
        <f>IF(ISBLANK(A565), "", (B565 * XLOOKUP(C565, 'Fees &amp; Postage Table'!A:A, 'Fees &amp; Postage Table'!C:C, 0)) + XLOOKUP(C565, 'Fees &amp; Postage Table'!A:A, 'Fees &amp; Postage Table'!B:B, 0))</f>
        <v/>
      </c>
      <c r="G565">
        <f>IF(ISBLANK(A565), "", XLOOKUP(C565, 'Fees &amp; Postage Table'!A:A, 'Fees &amp; Postage Table'!D:D, 0))</f>
        <v/>
      </c>
      <c r="H565">
        <f>IF(ISBLANK(A565), "", B565 - E565 - F565 - G565)</f>
        <v/>
      </c>
      <c r="I565">
        <f>IF(ISBLANK(A565), "", D565 - XLOOKUP(A565, Inventory!A:A, Inventory!H:H, TODAY()))</f>
        <v/>
      </c>
    </row>
    <row r="566">
      <c r="E566">
        <f>IF(ISBLANK(A566), "", XLOOKUP(A566, Inventory!A:A, Inventory!E:E, 0))</f>
        <v/>
      </c>
      <c r="F566">
        <f>IF(ISBLANK(A566), "", (B566 * XLOOKUP(C566, 'Fees &amp; Postage Table'!A:A, 'Fees &amp; Postage Table'!C:C, 0)) + XLOOKUP(C566, 'Fees &amp; Postage Table'!A:A, 'Fees &amp; Postage Table'!B:B, 0))</f>
        <v/>
      </c>
      <c r="G566">
        <f>IF(ISBLANK(A566), "", XLOOKUP(C566, 'Fees &amp; Postage Table'!A:A, 'Fees &amp; Postage Table'!D:D, 0))</f>
        <v/>
      </c>
      <c r="H566">
        <f>IF(ISBLANK(A566), "", B566 - E566 - F566 - G566)</f>
        <v/>
      </c>
      <c r="I566">
        <f>IF(ISBLANK(A566), "", D566 - XLOOKUP(A566, Inventory!A:A, Inventory!H:H, TODAY()))</f>
        <v/>
      </c>
    </row>
    <row r="567">
      <c r="E567">
        <f>IF(ISBLANK(A567), "", XLOOKUP(A567, Inventory!A:A, Inventory!E:E, 0))</f>
        <v/>
      </c>
      <c r="F567">
        <f>IF(ISBLANK(A567), "", (B567 * XLOOKUP(C567, 'Fees &amp; Postage Table'!A:A, 'Fees &amp; Postage Table'!C:C, 0)) + XLOOKUP(C567, 'Fees &amp; Postage Table'!A:A, 'Fees &amp; Postage Table'!B:B, 0))</f>
        <v/>
      </c>
      <c r="G567">
        <f>IF(ISBLANK(A567), "", XLOOKUP(C567, 'Fees &amp; Postage Table'!A:A, 'Fees &amp; Postage Table'!D:D, 0))</f>
        <v/>
      </c>
      <c r="H567">
        <f>IF(ISBLANK(A567), "", B567 - E567 - F567 - G567)</f>
        <v/>
      </c>
      <c r="I567">
        <f>IF(ISBLANK(A567), "", D567 - XLOOKUP(A567, Inventory!A:A, Inventory!H:H, TODAY()))</f>
        <v/>
      </c>
    </row>
    <row r="568">
      <c r="E568">
        <f>IF(ISBLANK(A568), "", XLOOKUP(A568, Inventory!A:A, Inventory!E:E, 0))</f>
        <v/>
      </c>
      <c r="F568">
        <f>IF(ISBLANK(A568), "", (B568 * XLOOKUP(C568, 'Fees &amp; Postage Table'!A:A, 'Fees &amp; Postage Table'!C:C, 0)) + XLOOKUP(C568, 'Fees &amp; Postage Table'!A:A, 'Fees &amp; Postage Table'!B:B, 0))</f>
        <v/>
      </c>
      <c r="G568">
        <f>IF(ISBLANK(A568), "", XLOOKUP(C568, 'Fees &amp; Postage Table'!A:A, 'Fees &amp; Postage Table'!D:D, 0))</f>
        <v/>
      </c>
      <c r="H568">
        <f>IF(ISBLANK(A568), "", B568 - E568 - F568 - G568)</f>
        <v/>
      </c>
      <c r="I568">
        <f>IF(ISBLANK(A568), "", D568 - XLOOKUP(A568, Inventory!A:A, Inventory!H:H, TODAY()))</f>
        <v/>
      </c>
    </row>
    <row r="569">
      <c r="E569">
        <f>IF(ISBLANK(A569), "", XLOOKUP(A569, Inventory!A:A, Inventory!E:E, 0))</f>
        <v/>
      </c>
      <c r="F569">
        <f>IF(ISBLANK(A569), "", (B569 * XLOOKUP(C569, 'Fees &amp; Postage Table'!A:A, 'Fees &amp; Postage Table'!C:C, 0)) + XLOOKUP(C569, 'Fees &amp; Postage Table'!A:A, 'Fees &amp; Postage Table'!B:B, 0))</f>
        <v/>
      </c>
      <c r="G569">
        <f>IF(ISBLANK(A569), "", XLOOKUP(C569, 'Fees &amp; Postage Table'!A:A, 'Fees &amp; Postage Table'!D:D, 0))</f>
        <v/>
      </c>
      <c r="H569">
        <f>IF(ISBLANK(A569), "", B569 - E569 - F569 - G569)</f>
        <v/>
      </c>
      <c r="I569">
        <f>IF(ISBLANK(A569), "", D569 - XLOOKUP(A569, Inventory!A:A, Inventory!H:H, TODAY()))</f>
        <v/>
      </c>
    </row>
    <row r="570">
      <c r="E570">
        <f>IF(ISBLANK(A570), "", XLOOKUP(A570, Inventory!A:A, Inventory!E:E, 0))</f>
        <v/>
      </c>
      <c r="F570">
        <f>IF(ISBLANK(A570), "", (B570 * XLOOKUP(C570, 'Fees &amp; Postage Table'!A:A, 'Fees &amp; Postage Table'!C:C, 0)) + XLOOKUP(C570, 'Fees &amp; Postage Table'!A:A, 'Fees &amp; Postage Table'!B:B, 0))</f>
        <v/>
      </c>
      <c r="G570">
        <f>IF(ISBLANK(A570), "", XLOOKUP(C570, 'Fees &amp; Postage Table'!A:A, 'Fees &amp; Postage Table'!D:D, 0))</f>
        <v/>
      </c>
      <c r="H570">
        <f>IF(ISBLANK(A570), "", B570 - E570 - F570 - G570)</f>
        <v/>
      </c>
      <c r="I570">
        <f>IF(ISBLANK(A570), "", D570 - XLOOKUP(A570, Inventory!A:A, Inventory!H:H, TODAY()))</f>
        <v/>
      </c>
    </row>
    <row r="571">
      <c r="E571">
        <f>IF(ISBLANK(A571), "", XLOOKUP(A571, Inventory!A:A, Inventory!E:E, 0))</f>
        <v/>
      </c>
      <c r="F571">
        <f>IF(ISBLANK(A571), "", (B571 * XLOOKUP(C571, 'Fees &amp; Postage Table'!A:A, 'Fees &amp; Postage Table'!C:C, 0)) + XLOOKUP(C571, 'Fees &amp; Postage Table'!A:A, 'Fees &amp; Postage Table'!B:B, 0))</f>
        <v/>
      </c>
      <c r="G571">
        <f>IF(ISBLANK(A571), "", XLOOKUP(C571, 'Fees &amp; Postage Table'!A:A, 'Fees &amp; Postage Table'!D:D, 0))</f>
        <v/>
      </c>
      <c r="H571">
        <f>IF(ISBLANK(A571), "", B571 - E571 - F571 - G571)</f>
        <v/>
      </c>
      <c r="I571">
        <f>IF(ISBLANK(A571), "", D571 - XLOOKUP(A571, Inventory!A:A, Inventory!H:H, TODAY()))</f>
        <v/>
      </c>
    </row>
    <row r="572">
      <c r="E572">
        <f>IF(ISBLANK(A572), "", XLOOKUP(A572, Inventory!A:A, Inventory!E:E, 0))</f>
        <v/>
      </c>
      <c r="F572">
        <f>IF(ISBLANK(A572), "", (B572 * XLOOKUP(C572, 'Fees &amp; Postage Table'!A:A, 'Fees &amp; Postage Table'!C:C, 0)) + XLOOKUP(C572, 'Fees &amp; Postage Table'!A:A, 'Fees &amp; Postage Table'!B:B, 0))</f>
        <v/>
      </c>
      <c r="G572">
        <f>IF(ISBLANK(A572), "", XLOOKUP(C572, 'Fees &amp; Postage Table'!A:A, 'Fees &amp; Postage Table'!D:D, 0))</f>
        <v/>
      </c>
      <c r="H572">
        <f>IF(ISBLANK(A572), "", B572 - E572 - F572 - G572)</f>
        <v/>
      </c>
      <c r="I572">
        <f>IF(ISBLANK(A572), "", D572 - XLOOKUP(A572, Inventory!A:A, Inventory!H:H, TODAY()))</f>
        <v/>
      </c>
    </row>
    <row r="573">
      <c r="E573">
        <f>IF(ISBLANK(A573), "", XLOOKUP(A573, Inventory!A:A, Inventory!E:E, 0))</f>
        <v/>
      </c>
      <c r="F573">
        <f>IF(ISBLANK(A573), "", (B573 * XLOOKUP(C573, 'Fees &amp; Postage Table'!A:A, 'Fees &amp; Postage Table'!C:C, 0)) + XLOOKUP(C573, 'Fees &amp; Postage Table'!A:A, 'Fees &amp; Postage Table'!B:B, 0))</f>
        <v/>
      </c>
      <c r="G573">
        <f>IF(ISBLANK(A573), "", XLOOKUP(C573, 'Fees &amp; Postage Table'!A:A, 'Fees &amp; Postage Table'!D:D, 0))</f>
        <v/>
      </c>
      <c r="H573">
        <f>IF(ISBLANK(A573), "", B573 - E573 - F573 - G573)</f>
        <v/>
      </c>
      <c r="I573">
        <f>IF(ISBLANK(A573), "", D573 - XLOOKUP(A573, Inventory!A:A, Inventory!H:H, TODAY()))</f>
        <v/>
      </c>
    </row>
    <row r="574">
      <c r="E574">
        <f>IF(ISBLANK(A574), "", XLOOKUP(A574, Inventory!A:A, Inventory!E:E, 0))</f>
        <v/>
      </c>
      <c r="F574">
        <f>IF(ISBLANK(A574), "", (B574 * XLOOKUP(C574, 'Fees &amp; Postage Table'!A:A, 'Fees &amp; Postage Table'!C:C, 0)) + XLOOKUP(C574, 'Fees &amp; Postage Table'!A:A, 'Fees &amp; Postage Table'!B:B, 0))</f>
        <v/>
      </c>
      <c r="G574">
        <f>IF(ISBLANK(A574), "", XLOOKUP(C574, 'Fees &amp; Postage Table'!A:A, 'Fees &amp; Postage Table'!D:D, 0))</f>
        <v/>
      </c>
      <c r="H574">
        <f>IF(ISBLANK(A574), "", B574 - E574 - F574 - G574)</f>
        <v/>
      </c>
      <c r="I574">
        <f>IF(ISBLANK(A574), "", D574 - XLOOKUP(A574, Inventory!A:A, Inventory!H:H, TODAY()))</f>
        <v/>
      </c>
    </row>
    <row r="575">
      <c r="E575">
        <f>IF(ISBLANK(A575), "", XLOOKUP(A575, Inventory!A:A, Inventory!E:E, 0))</f>
        <v/>
      </c>
      <c r="F575">
        <f>IF(ISBLANK(A575), "", (B575 * XLOOKUP(C575, 'Fees &amp; Postage Table'!A:A, 'Fees &amp; Postage Table'!C:C, 0)) + XLOOKUP(C575, 'Fees &amp; Postage Table'!A:A, 'Fees &amp; Postage Table'!B:B, 0))</f>
        <v/>
      </c>
      <c r="G575">
        <f>IF(ISBLANK(A575), "", XLOOKUP(C575, 'Fees &amp; Postage Table'!A:A, 'Fees &amp; Postage Table'!D:D, 0))</f>
        <v/>
      </c>
      <c r="H575">
        <f>IF(ISBLANK(A575), "", B575 - E575 - F575 - G575)</f>
        <v/>
      </c>
      <c r="I575">
        <f>IF(ISBLANK(A575), "", D575 - XLOOKUP(A575, Inventory!A:A, Inventory!H:H, TODAY()))</f>
        <v/>
      </c>
    </row>
    <row r="576">
      <c r="E576">
        <f>IF(ISBLANK(A576), "", XLOOKUP(A576, Inventory!A:A, Inventory!E:E, 0))</f>
        <v/>
      </c>
      <c r="F576">
        <f>IF(ISBLANK(A576), "", (B576 * XLOOKUP(C576, 'Fees &amp; Postage Table'!A:A, 'Fees &amp; Postage Table'!C:C, 0)) + XLOOKUP(C576, 'Fees &amp; Postage Table'!A:A, 'Fees &amp; Postage Table'!B:B, 0))</f>
        <v/>
      </c>
      <c r="G576">
        <f>IF(ISBLANK(A576), "", XLOOKUP(C576, 'Fees &amp; Postage Table'!A:A, 'Fees &amp; Postage Table'!D:D, 0))</f>
        <v/>
      </c>
      <c r="H576">
        <f>IF(ISBLANK(A576), "", B576 - E576 - F576 - G576)</f>
        <v/>
      </c>
      <c r="I576">
        <f>IF(ISBLANK(A576), "", D576 - XLOOKUP(A576, Inventory!A:A, Inventory!H:H, TODAY()))</f>
        <v/>
      </c>
    </row>
    <row r="577">
      <c r="E577">
        <f>IF(ISBLANK(A577), "", XLOOKUP(A577, Inventory!A:A, Inventory!E:E, 0))</f>
        <v/>
      </c>
      <c r="F577">
        <f>IF(ISBLANK(A577), "", (B577 * XLOOKUP(C577, 'Fees &amp; Postage Table'!A:A, 'Fees &amp; Postage Table'!C:C, 0)) + XLOOKUP(C577, 'Fees &amp; Postage Table'!A:A, 'Fees &amp; Postage Table'!B:B, 0))</f>
        <v/>
      </c>
      <c r="G577">
        <f>IF(ISBLANK(A577), "", XLOOKUP(C577, 'Fees &amp; Postage Table'!A:A, 'Fees &amp; Postage Table'!D:D, 0))</f>
        <v/>
      </c>
      <c r="H577">
        <f>IF(ISBLANK(A577), "", B577 - E577 - F577 - G577)</f>
        <v/>
      </c>
      <c r="I577">
        <f>IF(ISBLANK(A577), "", D577 - XLOOKUP(A577, Inventory!A:A, Inventory!H:H, TODAY()))</f>
        <v/>
      </c>
    </row>
    <row r="578">
      <c r="E578">
        <f>IF(ISBLANK(A578), "", XLOOKUP(A578, Inventory!A:A, Inventory!E:E, 0))</f>
        <v/>
      </c>
      <c r="F578">
        <f>IF(ISBLANK(A578), "", (B578 * XLOOKUP(C578, 'Fees &amp; Postage Table'!A:A, 'Fees &amp; Postage Table'!C:C, 0)) + XLOOKUP(C578, 'Fees &amp; Postage Table'!A:A, 'Fees &amp; Postage Table'!B:B, 0))</f>
        <v/>
      </c>
      <c r="G578">
        <f>IF(ISBLANK(A578), "", XLOOKUP(C578, 'Fees &amp; Postage Table'!A:A, 'Fees &amp; Postage Table'!D:D, 0))</f>
        <v/>
      </c>
      <c r="H578">
        <f>IF(ISBLANK(A578), "", B578 - E578 - F578 - G578)</f>
        <v/>
      </c>
      <c r="I578">
        <f>IF(ISBLANK(A578), "", D578 - XLOOKUP(A578, Inventory!A:A, Inventory!H:H, TODAY()))</f>
        <v/>
      </c>
    </row>
    <row r="579">
      <c r="E579">
        <f>IF(ISBLANK(A579), "", XLOOKUP(A579, Inventory!A:A, Inventory!E:E, 0))</f>
        <v/>
      </c>
      <c r="F579">
        <f>IF(ISBLANK(A579), "", (B579 * XLOOKUP(C579, 'Fees &amp; Postage Table'!A:A, 'Fees &amp; Postage Table'!C:C, 0)) + XLOOKUP(C579, 'Fees &amp; Postage Table'!A:A, 'Fees &amp; Postage Table'!B:B, 0))</f>
        <v/>
      </c>
      <c r="G579">
        <f>IF(ISBLANK(A579), "", XLOOKUP(C579, 'Fees &amp; Postage Table'!A:A, 'Fees &amp; Postage Table'!D:D, 0))</f>
        <v/>
      </c>
      <c r="H579">
        <f>IF(ISBLANK(A579), "", B579 - E579 - F579 - G579)</f>
        <v/>
      </c>
      <c r="I579">
        <f>IF(ISBLANK(A579), "", D579 - XLOOKUP(A579, Inventory!A:A, Inventory!H:H, TODAY()))</f>
        <v/>
      </c>
    </row>
    <row r="580">
      <c r="E580">
        <f>IF(ISBLANK(A580), "", XLOOKUP(A580, Inventory!A:A, Inventory!E:E, 0))</f>
        <v/>
      </c>
      <c r="F580">
        <f>IF(ISBLANK(A580), "", (B580 * XLOOKUP(C580, 'Fees &amp; Postage Table'!A:A, 'Fees &amp; Postage Table'!C:C, 0)) + XLOOKUP(C580, 'Fees &amp; Postage Table'!A:A, 'Fees &amp; Postage Table'!B:B, 0))</f>
        <v/>
      </c>
      <c r="G580">
        <f>IF(ISBLANK(A580), "", XLOOKUP(C580, 'Fees &amp; Postage Table'!A:A, 'Fees &amp; Postage Table'!D:D, 0))</f>
        <v/>
      </c>
      <c r="H580">
        <f>IF(ISBLANK(A580), "", B580 - E580 - F580 - G580)</f>
        <v/>
      </c>
      <c r="I580">
        <f>IF(ISBLANK(A580), "", D580 - XLOOKUP(A580, Inventory!A:A, Inventory!H:H, TODAY()))</f>
        <v/>
      </c>
    </row>
    <row r="581">
      <c r="E581">
        <f>IF(ISBLANK(A581), "", XLOOKUP(A581, Inventory!A:A, Inventory!E:E, 0))</f>
        <v/>
      </c>
      <c r="F581">
        <f>IF(ISBLANK(A581), "", (B581 * XLOOKUP(C581, 'Fees &amp; Postage Table'!A:A, 'Fees &amp; Postage Table'!C:C, 0)) + XLOOKUP(C581, 'Fees &amp; Postage Table'!A:A, 'Fees &amp; Postage Table'!B:B, 0))</f>
        <v/>
      </c>
      <c r="G581">
        <f>IF(ISBLANK(A581), "", XLOOKUP(C581, 'Fees &amp; Postage Table'!A:A, 'Fees &amp; Postage Table'!D:D, 0))</f>
        <v/>
      </c>
      <c r="H581">
        <f>IF(ISBLANK(A581), "", B581 - E581 - F581 - G581)</f>
        <v/>
      </c>
      <c r="I581">
        <f>IF(ISBLANK(A581), "", D581 - XLOOKUP(A581, Inventory!A:A, Inventory!H:H, TODAY()))</f>
        <v/>
      </c>
    </row>
    <row r="582">
      <c r="E582">
        <f>IF(ISBLANK(A582), "", XLOOKUP(A582, Inventory!A:A, Inventory!E:E, 0))</f>
        <v/>
      </c>
      <c r="F582">
        <f>IF(ISBLANK(A582), "", (B582 * XLOOKUP(C582, 'Fees &amp; Postage Table'!A:A, 'Fees &amp; Postage Table'!C:C, 0)) + XLOOKUP(C582, 'Fees &amp; Postage Table'!A:A, 'Fees &amp; Postage Table'!B:B, 0))</f>
        <v/>
      </c>
      <c r="G582">
        <f>IF(ISBLANK(A582), "", XLOOKUP(C582, 'Fees &amp; Postage Table'!A:A, 'Fees &amp; Postage Table'!D:D, 0))</f>
        <v/>
      </c>
      <c r="H582">
        <f>IF(ISBLANK(A582), "", B582 - E582 - F582 - G582)</f>
        <v/>
      </c>
      <c r="I582">
        <f>IF(ISBLANK(A582), "", D582 - XLOOKUP(A582, Inventory!A:A, Inventory!H:H, TODAY()))</f>
        <v/>
      </c>
    </row>
    <row r="583">
      <c r="E583">
        <f>IF(ISBLANK(A583), "", XLOOKUP(A583, Inventory!A:A, Inventory!E:E, 0))</f>
        <v/>
      </c>
      <c r="F583">
        <f>IF(ISBLANK(A583), "", (B583 * XLOOKUP(C583, 'Fees &amp; Postage Table'!A:A, 'Fees &amp; Postage Table'!C:C, 0)) + XLOOKUP(C583, 'Fees &amp; Postage Table'!A:A, 'Fees &amp; Postage Table'!B:B, 0))</f>
        <v/>
      </c>
      <c r="G583">
        <f>IF(ISBLANK(A583), "", XLOOKUP(C583, 'Fees &amp; Postage Table'!A:A, 'Fees &amp; Postage Table'!D:D, 0))</f>
        <v/>
      </c>
      <c r="H583">
        <f>IF(ISBLANK(A583), "", B583 - E583 - F583 - G583)</f>
        <v/>
      </c>
      <c r="I583">
        <f>IF(ISBLANK(A583), "", D583 - XLOOKUP(A583, Inventory!A:A, Inventory!H:H, TODAY()))</f>
        <v/>
      </c>
    </row>
    <row r="584">
      <c r="E584">
        <f>IF(ISBLANK(A584), "", XLOOKUP(A584, Inventory!A:A, Inventory!E:E, 0))</f>
        <v/>
      </c>
      <c r="F584">
        <f>IF(ISBLANK(A584), "", (B584 * XLOOKUP(C584, 'Fees &amp; Postage Table'!A:A, 'Fees &amp; Postage Table'!C:C, 0)) + XLOOKUP(C584, 'Fees &amp; Postage Table'!A:A, 'Fees &amp; Postage Table'!B:B, 0))</f>
        <v/>
      </c>
      <c r="G584">
        <f>IF(ISBLANK(A584), "", XLOOKUP(C584, 'Fees &amp; Postage Table'!A:A, 'Fees &amp; Postage Table'!D:D, 0))</f>
        <v/>
      </c>
      <c r="H584">
        <f>IF(ISBLANK(A584), "", B584 - E584 - F584 - G584)</f>
        <v/>
      </c>
      <c r="I584">
        <f>IF(ISBLANK(A584), "", D584 - XLOOKUP(A584, Inventory!A:A, Inventory!H:H, TODAY()))</f>
        <v/>
      </c>
    </row>
    <row r="585">
      <c r="E585">
        <f>IF(ISBLANK(A585), "", XLOOKUP(A585, Inventory!A:A, Inventory!E:E, 0))</f>
        <v/>
      </c>
      <c r="F585">
        <f>IF(ISBLANK(A585), "", (B585 * XLOOKUP(C585, 'Fees &amp; Postage Table'!A:A, 'Fees &amp; Postage Table'!C:C, 0)) + XLOOKUP(C585, 'Fees &amp; Postage Table'!A:A, 'Fees &amp; Postage Table'!B:B, 0))</f>
        <v/>
      </c>
      <c r="G585">
        <f>IF(ISBLANK(A585), "", XLOOKUP(C585, 'Fees &amp; Postage Table'!A:A, 'Fees &amp; Postage Table'!D:D, 0))</f>
        <v/>
      </c>
      <c r="H585">
        <f>IF(ISBLANK(A585), "", B585 - E585 - F585 - G585)</f>
        <v/>
      </c>
      <c r="I585">
        <f>IF(ISBLANK(A585), "", D585 - XLOOKUP(A585, Inventory!A:A, Inventory!H:H, TODAY()))</f>
        <v/>
      </c>
    </row>
    <row r="586">
      <c r="E586">
        <f>IF(ISBLANK(A586), "", XLOOKUP(A586, Inventory!A:A, Inventory!E:E, 0))</f>
        <v/>
      </c>
      <c r="F586">
        <f>IF(ISBLANK(A586), "", (B586 * XLOOKUP(C586, 'Fees &amp; Postage Table'!A:A, 'Fees &amp; Postage Table'!C:C, 0)) + XLOOKUP(C586, 'Fees &amp; Postage Table'!A:A, 'Fees &amp; Postage Table'!B:B, 0))</f>
        <v/>
      </c>
      <c r="G586">
        <f>IF(ISBLANK(A586), "", XLOOKUP(C586, 'Fees &amp; Postage Table'!A:A, 'Fees &amp; Postage Table'!D:D, 0))</f>
        <v/>
      </c>
      <c r="H586">
        <f>IF(ISBLANK(A586), "", B586 - E586 - F586 - G586)</f>
        <v/>
      </c>
      <c r="I586">
        <f>IF(ISBLANK(A586), "", D586 - XLOOKUP(A586, Inventory!A:A, Inventory!H:H, TODAY()))</f>
        <v/>
      </c>
    </row>
    <row r="587">
      <c r="E587">
        <f>IF(ISBLANK(A587), "", XLOOKUP(A587, Inventory!A:A, Inventory!E:E, 0))</f>
        <v/>
      </c>
      <c r="F587">
        <f>IF(ISBLANK(A587), "", (B587 * XLOOKUP(C587, 'Fees &amp; Postage Table'!A:A, 'Fees &amp; Postage Table'!C:C, 0)) + XLOOKUP(C587, 'Fees &amp; Postage Table'!A:A, 'Fees &amp; Postage Table'!B:B, 0))</f>
        <v/>
      </c>
      <c r="G587">
        <f>IF(ISBLANK(A587), "", XLOOKUP(C587, 'Fees &amp; Postage Table'!A:A, 'Fees &amp; Postage Table'!D:D, 0))</f>
        <v/>
      </c>
      <c r="H587">
        <f>IF(ISBLANK(A587), "", B587 - E587 - F587 - G587)</f>
        <v/>
      </c>
      <c r="I587">
        <f>IF(ISBLANK(A587), "", D587 - XLOOKUP(A587, Inventory!A:A, Inventory!H:H, TODAY()))</f>
        <v/>
      </c>
    </row>
    <row r="588">
      <c r="E588">
        <f>IF(ISBLANK(A588), "", XLOOKUP(A588, Inventory!A:A, Inventory!E:E, 0))</f>
        <v/>
      </c>
      <c r="F588">
        <f>IF(ISBLANK(A588), "", (B588 * XLOOKUP(C588, 'Fees &amp; Postage Table'!A:A, 'Fees &amp; Postage Table'!C:C, 0)) + XLOOKUP(C588, 'Fees &amp; Postage Table'!A:A, 'Fees &amp; Postage Table'!B:B, 0))</f>
        <v/>
      </c>
      <c r="G588">
        <f>IF(ISBLANK(A588), "", XLOOKUP(C588, 'Fees &amp; Postage Table'!A:A, 'Fees &amp; Postage Table'!D:D, 0))</f>
        <v/>
      </c>
      <c r="H588">
        <f>IF(ISBLANK(A588), "", B588 - E588 - F588 - G588)</f>
        <v/>
      </c>
      <c r="I588">
        <f>IF(ISBLANK(A588), "", D588 - XLOOKUP(A588, Inventory!A:A, Inventory!H:H, TODAY()))</f>
        <v/>
      </c>
    </row>
    <row r="589">
      <c r="E589">
        <f>IF(ISBLANK(A589), "", XLOOKUP(A589, Inventory!A:A, Inventory!E:E, 0))</f>
        <v/>
      </c>
      <c r="F589">
        <f>IF(ISBLANK(A589), "", (B589 * XLOOKUP(C589, 'Fees &amp; Postage Table'!A:A, 'Fees &amp; Postage Table'!C:C, 0)) + XLOOKUP(C589, 'Fees &amp; Postage Table'!A:A, 'Fees &amp; Postage Table'!B:B, 0))</f>
        <v/>
      </c>
      <c r="G589">
        <f>IF(ISBLANK(A589), "", XLOOKUP(C589, 'Fees &amp; Postage Table'!A:A, 'Fees &amp; Postage Table'!D:D, 0))</f>
        <v/>
      </c>
      <c r="H589">
        <f>IF(ISBLANK(A589), "", B589 - E589 - F589 - G589)</f>
        <v/>
      </c>
      <c r="I589">
        <f>IF(ISBLANK(A589), "", D589 - XLOOKUP(A589, Inventory!A:A, Inventory!H:H, TODAY()))</f>
        <v/>
      </c>
    </row>
    <row r="590">
      <c r="E590">
        <f>IF(ISBLANK(A590), "", XLOOKUP(A590, Inventory!A:A, Inventory!E:E, 0))</f>
        <v/>
      </c>
      <c r="F590">
        <f>IF(ISBLANK(A590), "", (B590 * XLOOKUP(C590, 'Fees &amp; Postage Table'!A:A, 'Fees &amp; Postage Table'!C:C, 0)) + XLOOKUP(C590, 'Fees &amp; Postage Table'!A:A, 'Fees &amp; Postage Table'!B:B, 0))</f>
        <v/>
      </c>
      <c r="G590">
        <f>IF(ISBLANK(A590), "", XLOOKUP(C590, 'Fees &amp; Postage Table'!A:A, 'Fees &amp; Postage Table'!D:D, 0))</f>
        <v/>
      </c>
      <c r="H590">
        <f>IF(ISBLANK(A590), "", B590 - E590 - F590 - G590)</f>
        <v/>
      </c>
      <c r="I590">
        <f>IF(ISBLANK(A590), "", D590 - XLOOKUP(A590, Inventory!A:A, Inventory!H:H, TODAY()))</f>
        <v/>
      </c>
    </row>
    <row r="591">
      <c r="E591">
        <f>IF(ISBLANK(A591), "", XLOOKUP(A591, Inventory!A:A, Inventory!E:E, 0))</f>
        <v/>
      </c>
      <c r="F591">
        <f>IF(ISBLANK(A591), "", (B591 * XLOOKUP(C591, 'Fees &amp; Postage Table'!A:A, 'Fees &amp; Postage Table'!C:C, 0)) + XLOOKUP(C591, 'Fees &amp; Postage Table'!A:A, 'Fees &amp; Postage Table'!B:B, 0))</f>
        <v/>
      </c>
      <c r="G591">
        <f>IF(ISBLANK(A591), "", XLOOKUP(C591, 'Fees &amp; Postage Table'!A:A, 'Fees &amp; Postage Table'!D:D, 0))</f>
        <v/>
      </c>
      <c r="H591">
        <f>IF(ISBLANK(A591), "", B591 - E591 - F591 - G591)</f>
        <v/>
      </c>
      <c r="I591">
        <f>IF(ISBLANK(A591), "", D591 - XLOOKUP(A591, Inventory!A:A, Inventory!H:H, TODAY()))</f>
        <v/>
      </c>
    </row>
    <row r="592">
      <c r="E592">
        <f>IF(ISBLANK(A592), "", XLOOKUP(A592, Inventory!A:A, Inventory!E:E, 0))</f>
        <v/>
      </c>
      <c r="F592">
        <f>IF(ISBLANK(A592), "", (B592 * XLOOKUP(C592, 'Fees &amp; Postage Table'!A:A, 'Fees &amp; Postage Table'!C:C, 0)) + XLOOKUP(C592, 'Fees &amp; Postage Table'!A:A, 'Fees &amp; Postage Table'!B:B, 0))</f>
        <v/>
      </c>
      <c r="G592">
        <f>IF(ISBLANK(A592), "", XLOOKUP(C592, 'Fees &amp; Postage Table'!A:A, 'Fees &amp; Postage Table'!D:D, 0))</f>
        <v/>
      </c>
      <c r="H592">
        <f>IF(ISBLANK(A592), "", B592 - E592 - F592 - G592)</f>
        <v/>
      </c>
      <c r="I592">
        <f>IF(ISBLANK(A592), "", D592 - XLOOKUP(A592, Inventory!A:A, Inventory!H:H, TODAY()))</f>
        <v/>
      </c>
    </row>
    <row r="593">
      <c r="E593">
        <f>IF(ISBLANK(A593), "", XLOOKUP(A593, Inventory!A:A, Inventory!E:E, 0))</f>
        <v/>
      </c>
      <c r="F593">
        <f>IF(ISBLANK(A593), "", (B593 * XLOOKUP(C593, 'Fees &amp; Postage Table'!A:A, 'Fees &amp; Postage Table'!C:C, 0)) + XLOOKUP(C593, 'Fees &amp; Postage Table'!A:A, 'Fees &amp; Postage Table'!B:B, 0))</f>
        <v/>
      </c>
      <c r="G593">
        <f>IF(ISBLANK(A593), "", XLOOKUP(C593, 'Fees &amp; Postage Table'!A:A, 'Fees &amp; Postage Table'!D:D, 0))</f>
        <v/>
      </c>
      <c r="H593">
        <f>IF(ISBLANK(A593), "", B593 - E593 - F593 - G593)</f>
        <v/>
      </c>
      <c r="I593">
        <f>IF(ISBLANK(A593), "", D593 - XLOOKUP(A593, Inventory!A:A, Inventory!H:H, TODAY()))</f>
        <v/>
      </c>
    </row>
    <row r="594">
      <c r="E594">
        <f>IF(ISBLANK(A594), "", XLOOKUP(A594, Inventory!A:A, Inventory!E:E, 0))</f>
        <v/>
      </c>
      <c r="F594">
        <f>IF(ISBLANK(A594), "", (B594 * XLOOKUP(C594, 'Fees &amp; Postage Table'!A:A, 'Fees &amp; Postage Table'!C:C, 0)) + XLOOKUP(C594, 'Fees &amp; Postage Table'!A:A, 'Fees &amp; Postage Table'!B:B, 0))</f>
        <v/>
      </c>
      <c r="G594">
        <f>IF(ISBLANK(A594), "", XLOOKUP(C594, 'Fees &amp; Postage Table'!A:A, 'Fees &amp; Postage Table'!D:D, 0))</f>
        <v/>
      </c>
      <c r="H594">
        <f>IF(ISBLANK(A594), "", B594 - E594 - F594 - G594)</f>
        <v/>
      </c>
      <c r="I594">
        <f>IF(ISBLANK(A594), "", D594 - XLOOKUP(A594, Inventory!A:A, Inventory!H:H, TODAY()))</f>
        <v/>
      </c>
    </row>
    <row r="595">
      <c r="E595">
        <f>IF(ISBLANK(A595), "", XLOOKUP(A595, Inventory!A:A, Inventory!E:E, 0))</f>
        <v/>
      </c>
      <c r="F595">
        <f>IF(ISBLANK(A595), "", (B595 * XLOOKUP(C595, 'Fees &amp; Postage Table'!A:A, 'Fees &amp; Postage Table'!C:C, 0)) + XLOOKUP(C595, 'Fees &amp; Postage Table'!A:A, 'Fees &amp; Postage Table'!B:B, 0))</f>
        <v/>
      </c>
      <c r="G595">
        <f>IF(ISBLANK(A595), "", XLOOKUP(C595, 'Fees &amp; Postage Table'!A:A, 'Fees &amp; Postage Table'!D:D, 0))</f>
        <v/>
      </c>
      <c r="H595">
        <f>IF(ISBLANK(A595), "", B595 - E595 - F595 - G595)</f>
        <v/>
      </c>
      <c r="I595">
        <f>IF(ISBLANK(A595), "", D595 - XLOOKUP(A595, Inventory!A:A, Inventory!H:H, TODAY()))</f>
        <v/>
      </c>
    </row>
    <row r="596">
      <c r="E596">
        <f>IF(ISBLANK(A596), "", XLOOKUP(A596, Inventory!A:A, Inventory!E:E, 0))</f>
        <v/>
      </c>
      <c r="F596">
        <f>IF(ISBLANK(A596), "", (B596 * XLOOKUP(C596, 'Fees &amp; Postage Table'!A:A, 'Fees &amp; Postage Table'!C:C, 0)) + XLOOKUP(C596, 'Fees &amp; Postage Table'!A:A, 'Fees &amp; Postage Table'!B:B, 0))</f>
        <v/>
      </c>
      <c r="G596">
        <f>IF(ISBLANK(A596), "", XLOOKUP(C596, 'Fees &amp; Postage Table'!A:A, 'Fees &amp; Postage Table'!D:D, 0))</f>
        <v/>
      </c>
      <c r="H596">
        <f>IF(ISBLANK(A596), "", B596 - E596 - F596 - G596)</f>
        <v/>
      </c>
      <c r="I596">
        <f>IF(ISBLANK(A596), "", D596 - XLOOKUP(A596, Inventory!A:A, Inventory!H:H, TODAY()))</f>
        <v/>
      </c>
    </row>
    <row r="597">
      <c r="E597">
        <f>IF(ISBLANK(A597), "", XLOOKUP(A597, Inventory!A:A, Inventory!E:E, 0))</f>
        <v/>
      </c>
      <c r="F597">
        <f>IF(ISBLANK(A597), "", (B597 * XLOOKUP(C597, 'Fees &amp; Postage Table'!A:A, 'Fees &amp; Postage Table'!C:C, 0)) + XLOOKUP(C597, 'Fees &amp; Postage Table'!A:A, 'Fees &amp; Postage Table'!B:B, 0))</f>
        <v/>
      </c>
      <c r="G597">
        <f>IF(ISBLANK(A597), "", XLOOKUP(C597, 'Fees &amp; Postage Table'!A:A, 'Fees &amp; Postage Table'!D:D, 0))</f>
        <v/>
      </c>
      <c r="H597">
        <f>IF(ISBLANK(A597), "", B597 - E597 - F597 - G597)</f>
        <v/>
      </c>
      <c r="I597">
        <f>IF(ISBLANK(A597), "", D597 - XLOOKUP(A597, Inventory!A:A, Inventory!H:H, TODAY()))</f>
        <v/>
      </c>
    </row>
    <row r="598">
      <c r="E598">
        <f>IF(ISBLANK(A598), "", XLOOKUP(A598, Inventory!A:A, Inventory!E:E, 0))</f>
        <v/>
      </c>
      <c r="F598">
        <f>IF(ISBLANK(A598), "", (B598 * XLOOKUP(C598, 'Fees &amp; Postage Table'!A:A, 'Fees &amp; Postage Table'!C:C, 0)) + XLOOKUP(C598, 'Fees &amp; Postage Table'!A:A, 'Fees &amp; Postage Table'!B:B, 0))</f>
        <v/>
      </c>
      <c r="G598">
        <f>IF(ISBLANK(A598), "", XLOOKUP(C598, 'Fees &amp; Postage Table'!A:A, 'Fees &amp; Postage Table'!D:D, 0))</f>
        <v/>
      </c>
      <c r="H598">
        <f>IF(ISBLANK(A598), "", B598 - E598 - F598 - G598)</f>
        <v/>
      </c>
      <c r="I598">
        <f>IF(ISBLANK(A598), "", D598 - XLOOKUP(A598, Inventory!A:A, Inventory!H:H, TODAY()))</f>
        <v/>
      </c>
    </row>
    <row r="599">
      <c r="E599">
        <f>IF(ISBLANK(A599), "", XLOOKUP(A599, Inventory!A:A, Inventory!E:E, 0))</f>
        <v/>
      </c>
      <c r="F599">
        <f>IF(ISBLANK(A599), "", (B599 * XLOOKUP(C599, 'Fees &amp; Postage Table'!A:A, 'Fees &amp; Postage Table'!C:C, 0)) + XLOOKUP(C599, 'Fees &amp; Postage Table'!A:A, 'Fees &amp; Postage Table'!B:B, 0))</f>
        <v/>
      </c>
      <c r="G599">
        <f>IF(ISBLANK(A599), "", XLOOKUP(C599, 'Fees &amp; Postage Table'!A:A, 'Fees &amp; Postage Table'!D:D, 0))</f>
        <v/>
      </c>
      <c r="H599">
        <f>IF(ISBLANK(A599), "", B599 - E599 - F599 - G599)</f>
        <v/>
      </c>
      <c r="I599">
        <f>IF(ISBLANK(A599), "", D599 - XLOOKUP(A599, Inventory!A:A, Inventory!H:H, TODAY()))</f>
        <v/>
      </c>
    </row>
    <row r="600">
      <c r="E600">
        <f>IF(ISBLANK(A600), "", XLOOKUP(A600, Inventory!A:A, Inventory!E:E, 0))</f>
        <v/>
      </c>
      <c r="F600">
        <f>IF(ISBLANK(A600), "", (B600 * XLOOKUP(C600, 'Fees &amp; Postage Table'!A:A, 'Fees &amp; Postage Table'!C:C, 0)) + XLOOKUP(C600, 'Fees &amp; Postage Table'!A:A, 'Fees &amp; Postage Table'!B:B, 0))</f>
        <v/>
      </c>
      <c r="G600">
        <f>IF(ISBLANK(A600), "", XLOOKUP(C600, 'Fees &amp; Postage Table'!A:A, 'Fees &amp; Postage Table'!D:D, 0))</f>
        <v/>
      </c>
      <c r="H600">
        <f>IF(ISBLANK(A600), "", B600 - E600 - F600 - G600)</f>
        <v/>
      </c>
      <c r="I600">
        <f>IF(ISBLANK(A600), "", D600 - XLOOKUP(A600, Inventory!A:A, Inventory!H:H, TODAY()))</f>
        <v/>
      </c>
    </row>
    <row r="601">
      <c r="E601">
        <f>IF(ISBLANK(A601), "", XLOOKUP(A601, Inventory!A:A, Inventory!E:E, 0))</f>
        <v/>
      </c>
      <c r="F601">
        <f>IF(ISBLANK(A601), "", (B601 * XLOOKUP(C601, 'Fees &amp; Postage Table'!A:A, 'Fees &amp; Postage Table'!C:C, 0)) + XLOOKUP(C601, 'Fees &amp; Postage Table'!A:A, 'Fees &amp; Postage Table'!B:B, 0))</f>
        <v/>
      </c>
      <c r="G601">
        <f>IF(ISBLANK(A601), "", XLOOKUP(C601, 'Fees &amp; Postage Table'!A:A, 'Fees &amp; Postage Table'!D:D, 0))</f>
        <v/>
      </c>
      <c r="H601">
        <f>IF(ISBLANK(A601), "", B601 - E601 - F601 - G601)</f>
        <v/>
      </c>
      <c r="I601">
        <f>IF(ISBLANK(A601), "", D601 - XLOOKUP(A601, Inventory!A:A, Inventory!H:H, TODAY()))</f>
        <v/>
      </c>
    </row>
    <row r="602">
      <c r="E602">
        <f>IF(ISBLANK(A602), "", XLOOKUP(A602, Inventory!A:A, Inventory!E:E, 0))</f>
        <v/>
      </c>
      <c r="F602">
        <f>IF(ISBLANK(A602), "", (B602 * XLOOKUP(C602, 'Fees &amp; Postage Table'!A:A, 'Fees &amp; Postage Table'!C:C, 0)) + XLOOKUP(C602, 'Fees &amp; Postage Table'!A:A, 'Fees &amp; Postage Table'!B:B, 0))</f>
        <v/>
      </c>
      <c r="G602">
        <f>IF(ISBLANK(A602), "", XLOOKUP(C602, 'Fees &amp; Postage Table'!A:A, 'Fees &amp; Postage Table'!D:D, 0))</f>
        <v/>
      </c>
      <c r="H602">
        <f>IF(ISBLANK(A602), "", B602 - E602 - F602 - G602)</f>
        <v/>
      </c>
      <c r="I602">
        <f>IF(ISBLANK(A602), "", D602 - XLOOKUP(A602, Inventory!A:A, Inventory!H:H, TODAY()))</f>
        <v/>
      </c>
    </row>
    <row r="603">
      <c r="E603">
        <f>IF(ISBLANK(A603), "", XLOOKUP(A603, Inventory!A:A, Inventory!E:E, 0))</f>
        <v/>
      </c>
      <c r="F603">
        <f>IF(ISBLANK(A603), "", (B603 * XLOOKUP(C603, 'Fees &amp; Postage Table'!A:A, 'Fees &amp; Postage Table'!C:C, 0)) + XLOOKUP(C603, 'Fees &amp; Postage Table'!A:A, 'Fees &amp; Postage Table'!B:B, 0))</f>
        <v/>
      </c>
      <c r="G603">
        <f>IF(ISBLANK(A603), "", XLOOKUP(C603, 'Fees &amp; Postage Table'!A:A, 'Fees &amp; Postage Table'!D:D, 0))</f>
        <v/>
      </c>
      <c r="H603">
        <f>IF(ISBLANK(A603), "", B603 - E603 - F603 - G603)</f>
        <v/>
      </c>
      <c r="I603">
        <f>IF(ISBLANK(A603), "", D603 - XLOOKUP(A603, Inventory!A:A, Inventory!H:H, TODAY()))</f>
        <v/>
      </c>
    </row>
    <row r="604">
      <c r="E604">
        <f>IF(ISBLANK(A604), "", XLOOKUP(A604, Inventory!A:A, Inventory!E:E, 0))</f>
        <v/>
      </c>
      <c r="F604">
        <f>IF(ISBLANK(A604), "", (B604 * XLOOKUP(C604, 'Fees &amp; Postage Table'!A:A, 'Fees &amp; Postage Table'!C:C, 0)) + XLOOKUP(C604, 'Fees &amp; Postage Table'!A:A, 'Fees &amp; Postage Table'!B:B, 0))</f>
        <v/>
      </c>
      <c r="G604">
        <f>IF(ISBLANK(A604), "", XLOOKUP(C604, 'Fees &amp; Postage Table'!A:A, 'Fees &amp; Postage Table'!D:D, 0))</f>
        <v/>
      </c>
      <c r="H604">
        <f>IF(ISBLANK(A604), "", B604 - E604 - F604 - G604)</f>
        <v/>
      </c>
      <c r="I604">
        <f>IF(ISBLANK(A604), "", D604 - XLOOKUP(A604, Inventory!A:A, Inventory!H:H, TODAY()))</f>
        <v/>
      </c>
    </row>
    <row r="605">
      <c r="E605">
        <f>IF(ISBLANK(A605), "", XLOOKUP(A605, Inventory!A:A, Inventory!E:E, 0))</f>
        <v/>
      </c>
      <c r="F605">
        <f>IF(ISBLANK(A605), "", (B605 * XLOOKUP(C605, 'Fees &amp; Postage Table'!A:A, 'Fees &amp; Postage Table'!C:C, 0)) + XLOOKUP(C605, 'Fees &amp; Postage Table'!A:A, 'Fees &amp; Postage Table'!B:B, 0))</f>
        <v/>
      </c>
      <c r="G605">
        <f>IF(ISBLANK(A605), "", XLOOKUP(C605, 'Fees &amp; Postage Table'!A:A, 'Fees &amp; Postage Table'!D:D, 0))</f>
        <v/>
      </c>
      <c r="H605">
        <f>IF(ISBLANK(A605), "", B605 - E605 - F605 - G605)</f>
        <v/>
      </c>
      <c r="I605">
        <f>IF(ISBLANK(A605), "", D605 - XLOOKUP(A605, Inventory!A:A, Inventory!H:H, TODAY()))</f>
        <v/>
      </c>
    </row>
    <row r="606">
      <c r="E606">
        <f>IF(ISBLANK(A606), "", XLOOKUP(A606, Inventory!A:A, Inventory!E:E, 0))</f>
        <v/>
      </c>
      <c r="F606">
        <f>IF(ISBLANK(A606), "", (B606 * XLOOKUP(C606, 'Fees &amp; Postage Table'!A:A, 'Fees &amp; Postage Table'!C:C, 0)) + XLOOKUP(C606, 'Fees &amp; Postage Table'!A:A, 'Fees &amp; Postage Table'!B:B, 0))</f>
        <v/>
      </c>
      <c r="G606">
        <f>IF(ISBLANK(A606), "", XLOOKUP(C606, 'Fees &amp; Postage Table'!A:A, 'Fees &amp; Postage Table'!D:D, 0))</f>
        <v/>
      </c>
      <c r="H606">
        <f>IF(ISBLANK(A606), "", B606 - E606 - F606 - G606)</f>
        <v/>
      </c>
      <c r="I606">
        <f>IF(ISBLANK(A606), "", D606 - XLOOKUP(A606, Inventory!A:A, Inventory!H:H, TODAY()))</f>
        <v/>
      </c>
    </row>
    <row r="607">
      <c r="E607">
        <f>IF(ISBLANK(A607), "", XLOOKUP(A607, Inventory!A:A, Inventory!E:E, 0))</f>
        <v/>
      </c>
      <c r="F607">
        <f>IF(ISBLANK(A607), "", (B607 * XLOOKUP(C607, 'Fees &amp; Postage Table'!A:A, 'Fees &amp; Postage Table'!C:C, 0)) + XLOOKUP(C607, 'Fees &amp; Postage Table'!A:A, 'Fees &amp; Postage Table'!B:B, 0))</f>
        <v/>
      </c>
      <c r="G607">
        <f>IF(ISBLANK(A607), "", XLOOKUP(C607, 'Fees &amp; Postage Table'!A:A, 'Fees &amp; Postage Table'!D:D, 0))</f>
        <v/>
      </c>
      <c r="H607">
        <f>IF(ISBLANK(A607), "", B607 - E607 - F607 - G607)</f>
        <v/>
      </c>
      <c r="I607">
        <f>IF(ISBLANK(A607), "", D607 - XLOOKUP(A607, Inventory!A:A, Inventory!H:H, TODAY()))</f>
        <v/>
      </c>
    </row>
    <row r="608">
      <c r="E608">
        <f>IF(ISBLANK(A608), "", XLOOKUP(A608, Inventory!A:A, Inventory!E:E, 0))</f>
        <v/>
      </c>
      <c r="F608">
        <f>IF(ISBLANK(A608), "", (B608 * XLOOKUP(C608, 'Fees &amp; Postage Table'!A:A, 'Fees &amp; Postage Table'!C:C, 0)) + XLOOKUP(C608, 'Fees &amp; Postage Table'!A:A, 'Fees &amp; Postage Table'!B:B, 0))</f>
        <v/>
      </c>
      <c r="G608">
        <f>IF(ISBLANK(A608), "", XLOOKUP(C608, 'Fees &amp; Postage Table'!A:A, 'Fees &amp; Postage Table'!D:D, 0))</f>
        <v/>
      </c>
      <c r="H608">
        <f>IF(ISBLANK(A608), "", B608 - E608 - F608 - G608)</f>
        <v/>
      </c>
      <c r="I608">
        <f>IF(ISBLANK(A608), "", D608 - XLOOKUP(A608, Inventory!A:A, Inventory!H:H, TODAY()))</f>
        <v/>
      </c>
    </row>
    <row r="609">
      <c r="E609">
        <f>IF(ISBLANK(A609), "", XLOOKUP(A609, Inventory!A:A, Inventory!E:E, 0))</f>
        <v/>
      </c>
      <c r="F609">
        <f>IF(ISBLANK(A609), "", (B609 * XLOOKUP(C609, 'Fees &amp; Postage Table'!A:A, 'Fees &amp; Postage Table'!C:C, 0)) + XLOOKUP(C609, 'Fees &amp; Postage Table'!A:A, 'Fees &amp; Postage Table'!B:B, 0))</f>
        <v/>
      </c>
      <c r="G609">
        <f>IF(ISBLANK(A609), "", XLOOKUP(C609, 'Fees &amp; Postage Table'!A:A, 'Fees &amp; Postage Table'!D:D, 0))</f>
        <v/>
      </c>
      <c r="H609">
        <f>IF(ISBLANK(A609), "", B609 - E609 - F609 - G609)</f>
        <v/>
      </c>
      <c r="I609">
        <f>IF(ISBLANK(A609), "", D609 - XLOOKUP(A609, Inventory!A:A, Inventory!H:H, TODAY()))</f>
        <v/>
      </c>
    </row>
    <row r="610">
      <c r="E610">
        <f>IF(ISBLANK(A610), "", XLOOKUP(A610, Inventory!A:A, Inventory!E:E, 0))</f>
        <v/>
      </c>
      <c r="F610">
        <f>IF(ISBLANK(A610), "", (B610 * XLOOKUP(C610, 'Fees &amp; Postage Table'!A:A, 'Fees &amp; Postage Table'!C:C, 0)) + XLOOKUP(C610, 'Fees &amp; Postage Table'!A:A, 'Fees &amp; Postage Table'!B:B, 0))</f>
        <v/>
      </c>
      <c r="G610">
        <f>IF(ISBLANK(A610), "", XLOOKUP(C610, 'Fees &amp; Postage Table'!A:A, 'Fees &amp; Postage Table'!D:D, 0))</f>
        <v/>
      </c>
      <c r="H610">
        <f>IF(ISBLANK(A610), "", B610 - E610 - F610 - G610)</f>
        <v/>
      </c>
      <c r="I610">
        <f>IF(ISBLANK(A610), "", D610 - XLOOKUP(A610, Inventory!A:A, Inventory!H:H, TODAY()))</f>
        <v/>
      </c>
    </row>
    <row r="611">
      <c r="E611">
        <f>IF(ISBLANK(A611), "", XLOOKUP(A611, Inventory!A:A, Inventory!E:E, 0))</f>
        <v/>
      </c>
      <c r="F611">
        <f>IF(ISBLANK(A611), "", (B611 * XLOOKUP(C611, 'Fees &amp; Postage Table'!A:A, 'Fees &amp; Postage Table'!C:C, 0)) + XLOOKUP(C611, 'Fees &amp; Postage Table'!A:A, 'Fees &amp; Postage Table'!B:B, 0))</f>
        <v/>
      </c>
      <c r="G611">
        <f>IF(ISBLANK(A611), "", XLOOKUP(C611, 'Fees &amp; Postage Table'!A:A, 'Fees &amp; Postage Table'!D:D, 0))</f>
        <v/>
      </c>
      <c r="H611">
        <f>IF(ISBLANK(A611), "", B611 - E611 - F611 - G611)</f>
        <v/>
      </c>
      <c r="I611">
        <f>IF(ISBLANK(A611), "", D611 - XLOOKUP(A611, Inventory!A:A, Inventory!H:H, TODAY()))</f>
        <v/>
      </c>
    </row>
    <row r="612">
      <c r="E612">
        <f>IF(ISBLANK(A612), "", XLOOKUP(A612, Inventory!A:A, Inventory!E:E, 0))</f>
        <v/>
      </c>
      <c r="F612">
        <f>IF(ISBLANK(A612), "", (B612 * XLOOKUP(C612, 'Fees &amp; Postage Table'!A:A, 'Fees &amp; Postage Table'!C:C, 0)) + XLOOKUP(C612, 'Fees &amp; Postage Table'!A:A, 'Fees &amp; Postage Table'!B:B, 0))</f>
        <v/>
      </c>
      <c r="G612">
        <f>IF(ISBLANK(A612), "", XLOOKUP(C612, 'Fees &amp; Postage Table'!A:A, 'Fees &amp; Postage Table'!D:D, 0))</f>
        <v/>
      </c>
      <c r="H612">
        <f>IF(ISBLANK(A612), "", B612 - E612 - F612 - G612)</f>
        <v/>
      </c>
      <c r="I612">
        <f>IF(ISBLANK(A612), "", D612 - XLOOKUP(A612, Inventory!A:A, Inventory!H:H, TODAY()))</f>
        <v/>
      </c>
    </row>
    <row r="613">
      <c r="E613">
        <f>IF(ISBLANK(A613), "", XLOOKUP(A613, Inventory!A:A, Inventory!E:E, 0))</f>
        <v/>
      </c>
      <c r="F613">
        <f>IF(ISBLANK(A613), "", (B613 * XLOOKUP(C613, 'Fees &amp; Postage Table'!A:A, 'Fees &amp; Postage Table'!C:C, 0)) + XLOOKUP(C613, 'Fees &amp; Postage Table'!A:A, 'Fees &amp; Postage Table'!B:B, 0))</f>
        <v/>
      </c>
      <c r="G613">
        <f>IF(ISBLANK(A613), "", XLOOKUP(C613, 'Fees &amp; Postage Table'!A:A, 'Fees &amp; Postage Table'!D:D, 0))</f>
        <v/>
      </c>
      <c r="H613">
        <f>IF(ISBLANK(A613), "", B613 - E613 - F613 - G613)</f>
        <v/>
      </c>
      <c r="I613">
        <f>IF(ISBLANK(A613), "", D613 - XLOOKUP(A613, Inventory!A:A, Inventory!H:H, TODAY()))</f>
        <v/>
      </c>
    </row>
    <row r="614">
      <c r="E614">
        <f>IF(ISBLANK(A614), "", XLOOKUP(A614, Inventory!A:A, Inventory!E:E, 0))</f>
        <v/>
      </c>
      <c r="F614">
        <f>IF(ISBLANK(A614), "", (B614 * XLOOKUP(C614, 'Fees &amp; Postage Table'!A:A, 'Fees &amp; Postage Table'!C:C, 0)) + XLOOKUP(C614, 'Fees &amp; Postage Table'!A:A, 'Fees &amp; Postage Table'!B:B, 0))</f>
        <v/>
      </c>
      <c r="G614">
        <f>IF(ISBLANK(A614), "", XLOOKUP(C614, 'Fees &amp; Postage Table'!A:A, 'Fees &amp; Postage Table'!D:D, 0))</f>
        <v/>
      </c>
      <c r="H614">
        <f>IF(ISBLANK(A614), "", B614 - E614 - F614 - G614)</f>
        <v/>
      </c>
      <c r="I614">
        <f>IF(ISBLANK(A614), "", D614 - XLOOKUP(A614, Inventory!A:A, Inventory!H:H, TODAY()))</f>
        <v/>
      </c>
    </row>
    <row r="615">
      <c r="E615">
        <f>IF(ISBLANK(A615), "", XLOOKUP(A615, Inventory!A:A, Inventory!E:E, 0))</f>
        <v/>
      </c>
      <c r="F615">
        <f>IF(ISBLANK(A615), "", (B615 * XLOOKUP(C615, 'Fees &amp; Postage Table'!A:A, 'Fees &amp; Postage Table'!C:C, 0)) + XLOOKUP(C615, 'Fees &amp; Postage Table'!A:A, 'Fees &amp; Postage Table'!B:B, 0))</f>
        <v/>
      </c>
      <c r="G615">
        <f>IF(ISBLANK(A615), "", XLOOKUP(C615, 'Fees &amp; Postage Table'!A:A, 'Fees &amp; Postage Table'!D:D, 0))</f>
        <v/>
      </c>
      <c r="H615">
        <f>IF(ISBLANK(A615), "", B615 - E615 - F615 - G615)</f>
        <v/>
      </c>
      <c r="I615">
        <f>IF(ISBLANK(A615), "", D615 - XLOOKUP(A615, Inventory!A:A, Inventory!H:H, TODAY()))</f>
        <v/>
      </c>
    </row>
    <row r="616">
      <c r="E616">
        <f>IF(ISBLANK(A616), "", XLOOKUP(A616, Inventory!A:A, Inventory!E:E, 0))</f>
        <v/>
      </c>
      <c r="F616">
        <f>IF(ISBLANK(A616), "", (B616 * XLOOKUP(C616, 'Fees &amp; Postage Table'!A:A, 'Fees &amp; Postage Table'!C:C, 0)) + XLOOKUP(C616, 'Fees &amp; Postage Table'!A:A, 'Fees &amp; Postage Table'!B:B, 0))</f>
        <v/>
      </c>
      <c r="G616">
        <f>IF(ISBLANK(A616), "", XLOOKUP(C616, 'Fees &amp; Postage Table'!A:A, 'Fees &amp; Postage Table'!D:D, 0))</f>
        <v/>
      </c>
      <c r="H616">
        <f>IF(ISBLANK(A616), "", B616 - E616 - F616 - G616)</f>
        <v/>
      </c>
      <c r="I616">
        <f>IF(ISBLANK(A616), "", D616 - XLOOKUP(A616, Inventory!A:A, Inventory!H:H, TODAY()))</f>
        <v/>
      </c>
    </row>
    <row r="617">
      <c r="E617">
        <f>IF(ISBLANK(A617), "", XLOOKUP(A617, Inventory!A:A, Inventory!E:E, 0))</f>
        <v/>
      </c>
      <c r="F617">
        <f>IF(ISBLANK(A617), "", (B617 * XLOOKUP(C617, 'Fees &amp; Postage Table'!A:A, 'Fees &amp; Postage Table'!C:C, 0)) + XLOOKUP(C617, 'Fees &amp; Postage Table'!A:A, 'Fees &amp; Postage Table'!B:B, 0))</f>
        <v/>
      </c>
      <c r="G617">
        <f>IF(ISBLANK(A617), "", XLOOKUP(C617, 'Fees &amp; Postage Table'!A:A, 'Fees &amp; Postage Table'!D:D, 0))</f>
        <v/>
      </c>
      <c r="H617">
        <f>IF(ISBLANK(A617), "", B617 - E617 - F617 - G617)</f>
        <v/>
      </c>
      <c r="I617">
        <f>IF(ISBLANK(A617), "", D617 - XLOOKUP(A617, Inventory!A:A, Inventory!H:H, TODAY()))</f>
        <v/>
      </c>
    </row>
    <row r="618">
      <c r="E618">
        <f>IF(ISBLANK(A618), "", XLOOKUP(A618, Inventory!A:A, Inventory!E:E, 0))</f>
        <v/>
      </c>
      <c r="F618">
        <f>IF(ISBLANK(A618), "", (B618 * XLOOKUP(C618, 'Fees &amp; Postage Table'!A:A, 'Fees &amp; Postage Table'!C:C, 0)) + XLOOKUP(C618, 'Fees &amp; Postage Table'!A:A, 'Fees &amp; Postage Table'!B:B, 0))</f>
        <v/>
      </c>
      <c r="G618">
        <f>IF(ISBLANK(A618), "", XLOOKUP(C618, 'Fees &amp; Postage Table'!A:A, 'Fees &amp; Postage Table'!D:D, 0))</f>
        <v/>
      </c>
      <c r="H618">
        <f>IF(ISBLANK(A618), "", B618 - E618 - F618 - G618)</f>
        <v/>
      </c>
      <c r="I618">
        <f>IF(ISBLANK(A618), "", D618 - XLOOKUP(A618, Inventory!A:A, Inventory!H:H, TODAY()))</f>
        <v/>
      </c>
    </row>
    <row r="619">
      <c r="E619">
        <f>IF(ISBLANK(A619), "", XLOOKUP(A619, Inventory!A:A, Inventory!E:E, 0))</f>
        <v/>
      </c>
      <c r="F619">
        <f>IF(ISBLANK(A619), "", (B619 * XLOOKUP(C619, 'Fees &amp; Postage Table'!A:A, 'Fees &amp; Postage Table'!C:C, 0)) + XLOOKUP(C619, 'Fees &amp; Postage Table'!A:A, 'Fees &amp; Postage Table'!B:B, 0))</f>
        <v/>
      </c>
      <c r="G619">
        <f>IF(ISBLANK(A619), "", XLOOKUP(C619, 'Fees &amp; Postage Table'!A:A, 'Fees &amp; Postage Table'!D:D, 0))</f>
        <v/>
      </c>
      <c r="H619">
        <f>IF(ISBLANK(A619), "", B619 - E619 - F619 - G619)</f>
        <v/>
      </c>
      <c r="I619">
        <f>IF(ISBLANK(A619), "", D619 - XLOOKUP(A619, Inventory!A:A, Inventory!H:H, TODAY()))</f>
        <v/>
      </c>
    </row>
    <row r="620">
      <c r="E620">
        <f>IF(ISBLANK(A620), "", XLOOKUP(A620, Inventory!A:A, Inventory!E:E, 0))</f>
        <v/>
      </c>
      <c r="F620">
        <f>IF(ISBLANK(A620), "", (B620 * XLOOKUP(C620, 'Fees &amp; Postage Table'!A:A, 'Fees &amp; Postage Table'!C:C, 0)) + XLOOKUP(C620, 'Fees &amp; Postage Table'!A:A, 'Fees &amp; Postage Table'!B:B, 0))</f>
        <v/>
      </c>
      <c r="G620">
        <f>IF(ISBLANK(A620), "", XLOOKUP(C620, 'Fees &amp; Postage Table'!A:A, 'Fees &amp; Postage Table'!D:D, 0))</f>
        <v/>
      </c>
      <c r="H620">
        <f>IF(ISBLANK(A620), "", B620 - E620 - F620 - G620)</f>
        <v/>
      </c>
      <c r="I620">
        <f>IF(ISBLANK(A620), "", D620 - XLOOKUP(A620, Inventory!A:A, Inventory!H:H, TODAY()))</f>
        <v/>
      </c>
    </row>
    <row r="621">
      <c r="E621">
        <f>IF(ISBLANK(A621), "", XLOOKUP(A621, Inventory!A:A, Inventory!E:E, 0))</f>
        <v/>
      </c>
      <c r="F621">
        <f>IF(ISBLANK(A621), "", (B621 * XLOOKUP(C621, 'Fees &amp; Postage Table'!A:A, 'Fees &amp; Postage Table'!C:C, 0)) + XLOOKUP(C621, 'Fees &amp; Postage Table'!A:A, 'Fees &amp; Postage Table'!B:B, 0))</f>
        <v/>
      </c>
      <c r="G621">
        <f>IF(ISBLANK(A621), "", XLOOKUP(C621, 'Fees &amp; Postage Table'!A:A, 'Fees &amp; Postage Table'!D:D, 0))</f>
        <v/>
      </c>
      <c r="H621">
        <f>IF(ISBLANK(A621), "", B621 - E621 - F621 - G621)</f>
        <v/>
      </c>
      <c r="I621">
        <f>IF(ISBLANK(A621), "", D621 - XLOOKUP(A621, Inventory!A:A, Inventory!H:H, TODAY()))</f>
        <v/>
      </c>
    </row>
    <row r="622">
      <c r="E622">
        <f>IF(ISBLANK(A622), "", XLOOKUP(A622, Inventory!A:A, Inventory!E:E, 0))</f>
        <v/>
      </c>
      <c r="F622">
        <f>IF(ISBLANK(A622), "", (B622 * XLOOKUP(C622, 'Fees &amp; Postage Table'!A:A, 'Fees &amp; Postage Table'!C:C, 0)) + XLOOKUP(C622, 'Fees &amp; Postage Table'!A:A, 'Fees &amp; Postage Table'!B:B, 0))</f>
        <v/>
      </c>
      <c r="G622">
        <f>IF(ISBLANK(A622), "", XLOOKUP(C622, 'Fees &amp; Postage Table'!A:A, 'Fees &amp; Postage Table'!D:D, 0))</f>
        <v/>
      </c>
      <c r="H622">
        <f>IF(ISBLANK(A622), "", B622 - E622 - F622 - G622)</f>
        <v/>
      </c>
      <c r="I622">
        <f>IF(ISBLANK(A622), "", D622 - XLOOKUP(A622, Inventory!A:A, Inventory!H:H, TODAY()))</f>
        <v/>
      </c>
    </row>
    <row r="623">
      <c r="E623">
        <f>IF(ISBLANK(A623), "", XLOOKUP(A623, Inventory!A:A, Inventory!E:E, 0))</f>
        <v/>
      </c>
      <c r="F623">
        <f>IF(ISBLANK(A623), "", (B623 * XLOOKUP(C623, 'Fees &amp; Postage Table'!A:A, 'Fees &amp; Postage Table'!C:C, 0)) + XLOOKUP(C623, 'Fees &amp; Postage Table'!A:A, 'Fees &amp; Postage Table'!B:B, 0))</f>
        <v/>
      </c>
      <c r="G623">
        <f>IF(ISBLANK(A623), "", XLOOKUP(C623, 'Fees &amp; Postage Table'!A:A, 'Fees &amp; Postage Table'!D:D, 0))</f>
        <v/>
      </c>
      <c r="H623">
        <f>IF(ISBLANK(A623), "", B623 - E623 - F623 - G623)</f>
        <v/>
      </c>
      <c r="I623">
        <f>IF(ISBLANK(A623), "", D623 - XLOOKUP(A623, Inventory!A:A, Inventory!H:H, TODAY()))</f>
        <v/>
      </c>
    </row>
    <row r="624">
      <c r="E624">
        <f>IF(ISBLANK(A624), "", XLOOKUP(A624, Inventory!A:A, Inventory!E:E, 0))</f>
        <v/>
      </c>
      <c r="F624">
        <f>IF(ISBLANK(A624), "", (B624 * XLOOKUP(C624, 'Fees &amp; Postage Table'!A:A, 'Fees &amp; Postage Table'!C:C, 0)) + XLOOKUP(C624, 'Fees &amp; Postage Table'!A:A, 'Fees &amp; Postage Table'!B:B, 0))</f>
        <v/>
      </c>
      <c r="G624">
        <f>IF(ISBLANK(A624), "", XLOOKUP(C624, 'Fees &amp; Postage Table'!A:A, 'Fees &amp; Postage Table'!D:D, 0))</f>
        <v/>
      </c>
      <c r="H624">
        <f>IF(ISBLANK(A624), "", B624 - E624 - F624 - G624)</f>
        <v/>
      </c>
      <c r="I624">
        <f>IF(ISBLANK(A624), "", D624 - XLOOKUP(A624, Inventory!A:A, Inventory!H:H, TODAY()))</f>
        <v/>
      </c>
    </row>
    <row r="625">
      <c r="E625">
        <f>IF(ISBLANK(A625), "", XLOOKUP(A625, Inventory!A:A, Inventory!E:E, 0))</f>
        <v/>
      </c>
      <c r="F625">
        <f>IF(ISBLANK(A625), "", (B625 * XLOOKUP(C625, 'Fees &amp; Postage Table'!A:A, 'Fees &amp; Postage Table'!C:C, 0)) + XLOOKUP(C625, 'Fees &amp; Postage Table'!A:A, 'Fees &amp; Postage Table'!B:B, 0))</f>
        <v/>
      </c>
      <c r="G625">
        <f>IF(ISBLANK(A625), "", XLOOKUP(C625, 'Fees &amp; Postage Table'!A:A, 'Fees &amp; Postage Table'!D:D, 0))</f>
        <v/>
      </c>
      <c r="H625">
        <f>IF(ISBLANK(A625), "", B625 - E625 - F625 - G625)</f>
        <v/>
      </c>
      <c r="I625">
        <f>IF(ISBLANK(A625), "", D625 - XLOOKUP(A625, Inventory!A:A, Inventory!H:H, TODAY()))</f>
        <v/>
      </c>
    </row>
    <row r="626">
      <c r="E626">
        <f>IF(ISBLANK(A626), "", XLOOKUP(A626, Inventory!A:A, Inventory!E:E, 0))</f>
        <v/>
      </c>
      <c r="F626">
        <f>IF(ISBLANK(A626), "", (B626 * XLOOKUP(C626, 'Fees &amp; Postage Table'!A:A, 'Fees &amp; Postage Table'!C:C, 0)) + XLOOKUP(C626, 'Fees &amp; Postage Table'!A:A, 'Fees &amp; Postage Table'!B:B, 0))</f>
        <v/>
      </c>
      <c r="G626">
        <f>IF(ISBLANK(A626), "", XLOOKUP(C626, 'Fees &amp; Postage Table'!A:A, 'Fees &amp; Postage Table'!D:D, 0))</f>
        <v/>
      </c>
      <c r="H626">
        <f>IF(ISBLANK(A626), "", B626 - E626 - F626 - G626)</f>
        <v/>
      </c>
      <c r="I626">
        <f>IF(ISBLANK(A626), "", D626 - XLOOKUP(A626, Inventory!A:A, Inventory!H:H, TODAY()))</f>
        <v/>
      </c>
    </row>
    <row r="627">
      <c r="E627">
        <f>IF(ISBLANK(A627), "", XLOOKUP(A627, Inventory!A:A, Inventory!E:E, 0))</f>
        <v/>
      </c>
      <c r="F627">
        <f>IF(ISBLANK(A627), "", (B627 * XLOOKUP(C627, 'Fees &amp; Postage Table'!A:A, 'Fees &amp; Postage Table'!C:C, 0)) + XLOOKUP(C627, 'Fees &amp; Postage Table'!A:A, 'Fees &amp; Postage Table'!B:B, 0))</f>
        <v/>
      </c>
      <c r="G627">
        <f>IF(ISBLANK(A627), "", XLOOKUP(C627, 'Fees &amp; Postage Table'!A:A, 'Fees &amp; Postage Table'!D:D, 0))</f>
        <v/>
      </c>
      <c r="H627">
        <f>IF(ISBLANK(A627), "", B627 - E627 - F627 - G627)</f>
        <v/>
      </c>
      <c r="I627">
        <f>IF(ISBLANK(A627), "", D627 - XLOOKUP(A627, Inventory!A:A, Inventory!H:H, TODAY()))</f>
        <v/>
      </c>
    </row>
    <row r="628">
      <c r="E628">
        <f>IF(ISBLANK(A628), "", XLOOKUP(A628, Inventory!A:A, Inventory!E:E, 0))</f>
        <v/>
      </c>
      <c r="F628">
        <f>IF(ISBLANK(A628), "", (B628 * XLOOKUP(C628, 'Fees &amp; Postage Table'!A:A, 'Fees &amp; Postage Table'!C:C, 0)) + XLOOKUP(C628, 'Fees &amp; Postage Table'!A:A, 'Fees &amp; Postage Table'!B:B, 0))</f>
        <v/>
      </c>
      <c r="G628">
        <f>IF(ISBLANK(A628), "", XLOOKUP(C628, 'Fees &amp; Postage Table'!A:A, 'Fees &amp; Postage Table'!D:D, 0))</f>
        <v/>
      </c>
      <c r="H628">
        <f>IF(ISBLANK(A628), "", B628 - E628 - F628 - G628)</f>
        <v/>
      </c>
      <c r="I628">
        <f>IF(ISBLANK(A628), "", D628 - XLOOKUP(A628, Inventory!A:A, Inventory!H:H, TODAY()))</f>
        <v/>
      </c>
    </row>
    <row r="629">
      <c r="E629">
        <f>IF(ISBLANK(A629), "", XLOOKUP(A629, Inventory!A:A, Inventory!E:E, 0))</f>
        <v/>
      </c>
      <c r="F629">
        <f>IF(ISBLANK(A629), "", (B629 * XLOOKUP(C629, 'Fees &amp; Postage Table'!A:A, 'Fees &amp; Postage Table'!C:C, 0)) + XLOOKUP(C629, 'Fees &amp; Postage Table'!A:A, 'Fees &amp; Postage Table'!B:B, 0))</f>
        <v/>
      </c>
      <c r="G629">
        <f>IF(ISBLANK(A629), "", XLOOKUP(C629, 'Fees &amp; Postage Table'!A:A, 'Fees &amp; Postage Table'!D:D, 0))</f>
        <v/>
      </c>
      <c r="H629">
        <f>IF(ISBLANK(A629), "", B629 - E629 - F629 - G629)</f>
        <v/>
      </c>
      <c r="I629">
        <f>IF(ISBLANK(A629), "", D629 - XLOOKUP(A629, Inventory!A:A, Inventory!H:H, TODAY()))</f>
        <v/>
      </c>
    </row>
    <row r="630">
      <c r="E630">
        <f>IF(ISBLANK(A630), "", XLOOKUP(A630, Inventory!A:A, Inventory!E:E, 0))</f>
        <v/>
      </c>
      <c r="F630">
        <f>IF(ISBLANK(A630), "", (B630 * XLOOKUP(C630, 'Fees &amp; Postage Table'!A:A, 'Fees &amp; Postage Table'!C:C, 0)) + XLOOKUP(C630, 'Fees &amp; Postage Table'!A:A, 'Fees &amp; Postage Table'!B:B, 0))</f>
        <v/>
      </c>
      <c r="G630">
        <f>IF(ISBLANK(A630), "", XLOOKUP(C630, 'Fees &amp; Postage Table'!A:A, 'Fees &amp; Postage Table'!D:D, 0))</f>
        <v/>
      </c>
      <c r="H630">
        <f>IF(ISBLANK(A630), "", B630 - E630 - F630 - G630)</f>
        <v/>
      </c>
      <c r="I630">
        <f>IF(ISBLANK(A630), "", D630 - XLOOKUP(A630, Inventory!A:A, Inventory!H:H, TODAY()))</f>
        <v/>
      </c>
    </row>
    <row r="631">
      <c r="E631">
        <f>IF(ISBLANK(A631), "", XLOOKUP(A631, Inventory!A:A, Inventory!E:E, 0))</f>
        <v/>
      </c>
      <c r="F631">
        <f>IF(ISBLANK(A631), "", (B631 * XLOOKUP(C631, 'Fees &amp; Postage Table'!A:A, 'Fees &amp; Postage Table'!C:C, 0)) + XLOOKUP(C631, 'Fees &amp; Postage Table'!A:A, 'Fees &amp; Postage Table'!B:B, 0))</f>
        <v/>
      </c>
      <c r="G631">
        <f>IF(ISBLANK(A631), "", XLOOKUP(C631, 'Fees &amp; Postage Table'!A:A, 'Fees &amp; Postage Table'!D:D, 0))</f>
        <v/>
      </c>
      <c r="H631">
        <f>IF(ISBLANK(A631), "", B631 - E631 - F631 - G631)</f>
        <v/>
      </c>
      <c r="I631">
        <f>IF(ISBLANK(A631), "", D631 - XLOOKUP(A631, Inventory!A:A, Inventory!H:H, TODAY()))</f>
        <v/>
      </c>
    </row>
    <row r="632">
      <c r="E632">
        <f>IF(ISBLANK(A632), "", XLOOKUP(A632, Inventory!A:A, Inventory!E:E, 0))</f>
        <v/>
      </c>
      <c r="F632">
        <f>IF(ISBLANK(A632), "", (B632 * XLOOKUP(C632, 'Fees &amp; Postage Table'!A:A, 'Fees &amp; Postage Table'!C:C, 0)) + XLOOKUP(C632, 'Fees &amp; Postage Table'!A:A, 'Fees &amp; Postage Table'!B:B, 0))</f>
        <v/>
      </c>
      <c r="G632">
        <f>IF(ISBLANK(A632), "", XLOOKUP(C632, 'Fees &amp; Postage Table'!A:A, 'Fees &amp; Postage Table'!D:D, 0))</f>
        <v/>
      </c>
      <c r="H632">
        <f>IF(ISBLANK(A632), "", B632 - E632 - F632 - G632)</f>
        <v/>
      </c>
      <c r="I632">
        <f>IF(ISBLANK(A632), "", D632 - XLOOKUP(A632, Inventory!A:A, Inventory!H:H, TODAY()))</f>
        <v/>
      </c>
    </row>
    <row r="633">
      <c r="E633">
        <f>IF(ISBLANK(A633), "", XLOOKUP(A633, Inventory!A:A, Inventory!E:E, 0))</f>
        <v/>
      </c>
      <c r="F633">
        <f>IF(ISBLANK(A633), "", (B633 * XLOOKUP(C633, 'Fees &amp; Postage Table'!A:A, 'Fees &amp; Postage Table'!C:C, 0)) + XLOOKUP(C633, 'Fees &amp; Postage Table'!A:A, 'Fees &amp; Postage Table'!B:B, 0))</f>
        <v/>
      </c>
      <c r="G633">
        <f>IF(ISBLANK(A633), "", XLOOKUP(C633, 'Fees &amp; Postage Table'!A:A, 'Fees &amp; Postage Table'!D:D, 0))</f>
        <v/>
      </c>
      <c r="H633">
        <f>IF(ISBLANK(A633), "", B633 - E633 - F633 - G633)</f>
        <v/>
      </c>
      <c r="I633">
        <f>IF(ISBLANK(A633), "", D633 - XLOOKUP(A633, Inventory!A:A, Inventory!H:H, TODAY()))</f>
        <v/>
      </c>
    </row>
    <row r="634">
      <c r="E634">
        <f>IF(ISBLANK(A634), "", XLOOKUP(A634, Inventory!A:A, Inventory!E:E, 0))</f>
        <v/>
      </c>
      <c r="F634">
        <f>IF(ISBLANK(A634), "", (B634 * XLOOKUP(C634, 'Fees &amp; Postage Table'!A:A, 'Fees &amp; Postage Table'!C:C, 0)) + XLOOKUP(C634, 'Fees &amp; Postage Table'!A:A, 'Fees &amp; Postage Table'!B:B, 0))</f>
        <v/>
      </c>
      <c r="G634">
        <f>IF(ISBLANK(A634), "", XLOOKUP(C634, 'Fees &amp; Postage Table'!A:A, 'Fees &amp; Postage Table'!D:D, 0))</f>
        <v/>
      </c>
      <c r="H634">
        <f>IF(ISBLANK(A634), "", B634 - E634 - F634 - G634)</f>
        <v/>
      </c>
      <c r="I634">
        <f>IF(ISBLANK(A634), "", D634 - XLOOKUP(A634, Inventory!A:A, Inventory!H:H, TODAY()))</f>
        <v/>
      </c>
    </row>
    <row r="635">
      <c r="E635">
        <f>IF(ISBLANK(A635), "", XLOOKUP(A635, Inventory!A:A, Inventory!E:E, 0))</f>
        <v/>
      </c>
      <c r="F635">
        <f>IF(ISBLANK(A635), "", (B635 * XLOOKUP(C635, 'Fees &amp; Postage Table'!A:A, 'Fees &amp; Postage Table'!C:C, 0)) + XLOOKUP(C635, 'Fees &amp; Postage Table'!A:A, 'Fees &amp; Postage Table'!B:B, 0))</f>
        <v/>
      </c>
      <c r="G635">
        <f>IF(ISBLANK(A635), "", XLOOKUP(C635, 'Fees &amp; Postage Table'!A:A, 'Fees &amp; Postage Table'!D:D, 0))</f>
        <v/>
      </c>
      <c r="H635">
        <f>IF(ISBLANK(A635), "", B635 - E635 - F635 - G635)</f>
        <v/>
      </c>
      <c r="I635">
        <f>IF(ISBLANK(A635), "", D635 - XLOOKUP(A635, Inventory!A:A, Inventory!H:H, TODAY()))</f>
        <v/>
      </c>
    </row>
    <row r="636">
      <c r="E636">
        <f>IF(ISBLANK(A636), "", XLOOKUP(A636, Inventory!A:A, Inventory!E:E, 0))</f>
        <v/>
      </c>
      <c r="F636">
        <f>IF(ISBLANK(A636), "", (B636 * XLOOKUP(C636, 'Fees &amp; Postage Table'!A:A, 'Fees &amp; Postage Table'!C:C, 0)) + XLOOKUP(C636, 'Fees &amp; Postage Table'!A:A, 'Fees &amp; Postage Table'!B:B, 0))</f>
        <v/>
      </c>
      <c r="G636">
        <f>IF(ISBLANK(A636), "", XLOOKUP(C636, 'Fees &amp; Postage Table'!A:A, 'Fees &amp; Postage Table'!D:D, 0))</f>
        <v/>
      </c>
      <c r="H636">
        <f>IF(ISBLANK(A636), "", B636 - E636 - F636 - G636)</f>
        <v/>
      </c>
      <c r="I636">
        <f>IF(ISBLANK(A636), "", D636 - XLOOKUP(A636, Inventory!A:A, Inventory!H:H, TODAY()))</f>
        <v/>
      </c>
    </row>
    <row r="637">
      <c r="E637">
        <f>IF(ISBLANK(A637), "", XLOOKUP(A637, Inventory!A:A, Inventory!E:E, 0))</f>
        <v/>
      </c>
      <c r="F637">
        <f>IF(ISBLANK(A637), "", (B637 * XLOOKUP(C637, 'Fees &amp; Postage Table'!A:A, 'Fees &amp; Postage Table'!C:C, 0)) + XLOOKUP(C637, 'Fees &amp; Postage Table'!A:A, 'Fees &amp; Postage Table'!B:B, 0))</f>
        <v/>
      </c>
      <c r="G637">
        <f>IF(ISBLANK(A637), "", XLOOKUP(C637, 'Fees &amp; Postage Table'!A:A, 'Fees &amp; Postage Table'!D:D, 0))</f>
        <v/>
      </c>
      <c r="H637">
        <f>IF(ISBLANK(A637), "", B637 - E637 - F637 - G637)</f>
        <v/>
      </c>
      <c r="I637">
        <f>IF(ISBLANK(A637), "", D637 - XLOOKUP(A637, Inventory!A:A, Inventory!H:H, TODAY()))</f>
        <v/>
      </c>
    </row>
    <row r="638">
      <c r="E638">
        <f>IF(ISBLANK(A638), "", XLOOKUP(A638, Inventory!A:A, Inventory!E:E, 0))</f>
        <v/>
      </c>
      <c r="F638">
        <f>IF(ISBLANK(A638), "", (B638 * XLOOKUP(C638, 'Fees &amp; Postage Table'!A:A, 'Fees &amp; Postage Table'!C:C, 0)) + XLOOKUP(C638, 'Fees &amp; Postage Table'!A:A, 'Fees &amp; Postage Table'!B:B, 0))</f>
        <v/>
      </c>
      <c r="G638">
        <f>IF(ISBLANK(A638), "", XLOOKUP(C638, 'Fees &amp; Postage Table'!A:A, 'Fees &amp; Postage Table'!D:D, 0))</f>
        <v/>
      </c>
      <c r="H638">
        <f>IF(ISBLANK(A638), "", B638 - E638 - F638 - G638)</f>
        <v/>
      </c>
      <c r="I638">
        <f>IF(ISBLANK(A638), "", D638 - XLOOKUP(A638, Inventory!A:A, Inventory!H:H, TODAY()))</f>
        <v/>
      </c>
    </row>
    <row r="639">
      <c r="E639">
        <f>IF(ISBLANK(A639), "", XLOOKUP(A639, Inventory!A:A, Inventory!E:E, 0))</f>
        <v/>
      </c>
      <c r="F639">
        <f>IF(ISBLANK(A639), "", (B639 * XLOOKUP(C639, 'Fees &amp; Postage Table'!A:A, 'Fees &amp; Postage Table'!C:C, 0)) + XLOOKUP(C639, 'Fees &amp; Postage Table'!A:A, 'Fees &amp; Postage Table'!B:B, 0))</f>
        <v/>
      </c>
      <c r="G639">
        <f>IF(ISBLANK(A639), "", XLOOKUP(C639, 'Fees &amp; Postage Table'!A:A, 'Fees &amp; Postage Table'!D:D, 0))</f>
        <v/>
      </c>
      <c r="H639">
        <f>IF(ISBLANK(A639), "", B639 - E639 - F639 - G639)</f>
        <v/>
      </c>
      <c r="I639">
        <f>IF(ISBLANK(A639), "", D639 - XLOOKUP(A639, Inventory!A:A, Inventory!H:H, TODAY()))</f>
        <v/>
      </c>
    </row>
    <row r="640">
      <c r="E640">
        <f>IF(ISBLANK(A640), "", XLOOKUP(A640, Inventory!A:A, Inventory!E:E, 0))</f>
        <v/>
      </c>
      <c r="F640">
        <f>IF(ISBLANK(A640), "", (B640 * XLOOKUP(C640, 'Fees &amp; Postage Table'!A:A, 'Fees &amp; Postage Table'!C:C, 0)) + XLOOKUP(C640, 'Fees &amp; Postage Table'!A:A, 'Fees &amp; Postage Table'!B:B, 0))</f>
        <v/>
      </c>
      <c r="G640">
        <f>IF(ISBLANK(A640), "", XLOOKUP(C640, 'Fees &amp; Postage Table'!A:A, 'Fees &amp; Postage Table'!D:D, 0))</f>
        <v/>
      </c>
      <c r="H640">
        <f>IF(ISBLANK(A640), "", B640 - E640 - F640 - G640)</f>
        <v/>
      </c>
      <c r="I640">
        <f>IF(ISBLANK(A640), "", D640 - XLOOKUP(A640, Inventory!A:A, Inventory!H:H, TODAY()))</f>
        <v/>
      </c>
    </row>
    <row r="641">
      <c r="E641">
        <f>IF(ISBLANK(A641), "", XLOOKUP(A641, Inventory!A:A, Inventory!E:E, 0))</f>
        <v/>
      </c>
      <c r="F641">
        <f>IF(ISBLANK(A641), "", (B641 * XLOOKUP(C641, 'Fees &amp; Postage Table'!A:A, 'Fees &amp; Postage Table'!C:C, 0)) + XLOOKUP(C641, 'Fees &amp; Postage Table'!A:A, 'Fees &amp; Postage Table'!B:B, 0))</f>
        <v/>
      </c>
      <c r="G641">
        <f>IF(ISBLANK(A641), "", XLOOKUP(C641, 'Fees &amp; Postage Table'!A:A, 'Fees &amp; Postage Table'!D:D, 0))</f>
        <v/>
      </c>
      <c r="H641">
        <f>IF(ISBLANK(A641), "", B641 - E641 - F641 - G641)</f>
        <v/>
      </c>
      <c r="I641">
        <f>IF(ISBLANK(A641), "", D641 - XLOOKUP(A641, Inventory!A:A, Inventory!H:H, TODAY()))</f>
        <v/>
      </c>
    </row>
    <row r="642">
      <c r="E642">
        <f>IF(ISBLANK(A642), "", XLOOKUP(A642, Inventory!A:A, Inventory!E:E, 0))</f>
        <v/>
      </c>
      <c r="F642">
        <f>IF(ISBLANK(A642), "", (B642 * XLOOKUP(C642, 'Fees &amp; Postage Table'!A:A, 'Fees &amp; Postage Table'!C:C, 0)) + XLOOKUP(C642, 'Fees &amp; Postage Table'!A:A, 'Fees &amp; Postage Table'!B:B, 0))</f>
        <v/>
      </c>
      <c r="G642">
        <f>IF(ISBLANK(A642), "", XLOOKUP(C642, 'Fees &amp; Postage Table'!A:A, 'Fees &amp; Postage Table'!D:D, 0))</f>
        <v/>
      </c>
      <c r="H642">
        <f>IF(ISBLANK(A642), "", B642 - E642 - F642 - G642)</f>
        <v/>
      </c>
      <c r="I642">
        <f>IF(ISBLANK(A642), "", D642 - XLOOKUP(A642, Inventory!A:A, Inventory!H:H, TODAY()))</f>
        <v/>
      </c>
    </row>
    <row r="643">
      <c r="E643">
        <f>IF(ISBLANK(A643), "", XLOOKUP(A643, Inventory!A:A, Inventory!E:E, 0))</f>
        <v/>
      </c>
      <c r="F643">
        <f>IF(ISBLANK(A643), "", (B643 * XLOOKUP(C643, 'Fees &amp; Postage Table'!A:A, 'Fees &amp; Postage Table'!C:C, 0)) + XLOOKUP(C643, 'Fees &amp; Postage Table'!A:A, 'Fees &amp; Postage Table'!B:B, 0))</f>
        <v/>
      </c>
      <c r="G643">
        <f>IF(ISBLANK(A643), "", XLOOKUP(C643, 'Fees &amp; Postage Table'!A:A, 'Fees &amp; Postage Table'!D:D, 0))</f>
        <v/>
      </c>
      <c r="H643">
        <f>IF(ISBLANK(A643), "", B643 - E643 - F643 - G643)</f>
        <v/>
      </c>
      <c r="I643">
        <f>IF(ISBLANK(A643), "", D643 - XLOOKUP(A643, Inventory!A:A, Inventory!H:H, TODAY()))</f>
        <v/>
      </c>
    </row>
    <row r="644">
      <c r="E644">
        <f>IF(ISBLANK(A644), "", XLOOKUP(A644, Inventory!A:A, Inventory!E:E, 0))</f>
        <v/>
      </c>
      <c r="F644">
        <f>IF(ISBLANK(A644), "", (B644 * XLOOKUP(C644, 'Fees &amp; Postage Table'!A:A, 'Fees &amp; Postage Table'!C:C, 0)) + XLOOKUP(C644, 'Fees &amp; Postage Table'!A:A, 'Fees &amp; Postage Table'!B:B, 0))</f>
        <v/>
      </c>
      <c r="G644">
        <f>IF(ISBLANK(A644), "", XLOOKUP(C644, 'Fees &amp; Postage Table'!A:A, 'Fees &amp; Postage Table'!D:D, 0))</f>
        <v/>
      </c>
      <c r="H644">
        <f>IF(ISBLANK(A644), "", B644 - E644 - F644 - G644)</f>
        <v/>
      </c>
      <c r="I644">
        <f>IF(ISBLANK(A644), "", D644 - XLOOKUP(A644, Inventory!A:A, Inventory!H:H, TODAY()))</f>
        <v/>
      </c>
    </row>
    <row r="645">
      <c r="E645">
        <f>IF(ISBLANK(A645), "", XLOOKUP(A645, Inventory!A:A, Inventory!E:E, 0))</f>
        <v/>
      </c>
      <c r="F645">
        <f>IF(ISBLANK(A645), "", (B645 * XLOOKUP(C645, 'Fees &amp; Postage Table'!A:A, 'Fees &amp; Postage Table'!C:C, 0)) + XLOOKUP(C645, 'Fees &amp; Postage Table'!A:A, 'Fees &amp; Postage Table'!B:B, 0))</f>
        <v/>
      </c>
      <c r="G645">
        <f>IF(ISBLANK(A645), "", XLOOKUP(C645, 'Fees &amp; Postage Table'!A:A, 'Fees &amp; Postage Table'!D:D, 0))</f>
        <v/>
      </c>
      <c r="H645">
        <f>IF(ISBLANK(A645), "", B645 - E645 - F645 - G645)</f>
        <v/>
      </c>
      <c r="I645">
        <f>IF(ISBLANK(A645), "", D645 - XLOOKUP(A645, Inventory!A:A, Inventory!H:H, TODAY()))</f>
        <v/>
      </c>
    </row>
    <row r="646">
      <c r="E646">
        <f>IF(ISBLANK(A646), "", XLOOKUP(A646, Inventory!A:A, Inventory!E:E, 0))</f>
        <v/>
      </c>
      <c r="F646">
        <f>IF(ISBLANK(A646), "", (B646 * XLOOKUP(C646, 'Fees &amp; Postage Table'!A:A, 'Fees &amp; Postage Table'!C:C, 0)) + XLOOKUP(C646, 'Fees &amp; Postage Table'!A:A, 'Fees &amp; Postage Table'!B:B, 0))</f>
        <v/>
      </c>
      <c r="G646">
        <f>IF(ISBLANK(A646), "", XLOOKUP(C646, 'Fees &amp; Postage Table'!A:A, 'Fees &amp; Postage Table'!D:D, 0))</f>
        <v/>
      </c>
      <c r="H646">
        <f>IF(ISBLANK(A646), "", B646 - E646 - F646 - G646)</f>
        <v/>
      </c>
      <c r="I646">
        <f>IF(ISBLANK(A646), "", D646 - XLOOKUP(A646, Inventory!A:A, Inventory!H:H, TODAY()))</f>
        <v/>
      </c>
    </row>
    <row r="647">
      <c r="E647">
        <f>IF(ISBLANK(A647), "", XLOOKUP(A647, Inventory!A:A, Inventory!E:E, 0))</f>
        <v/>
      </c>
      <c r="F647">
        <f>IF(ISBLANK(A647), "", (B647 * XLOOKUP(C647, 'Fees &amp; Postage Table'!A:A, 'Fees &amp; Postage Table'!C:C, 0)) + XLOOKUP(C647, 'Fees &amp; Postage Table'!A:A, 'Fees &amp; Postage Table'!B:B, 0))</f>
        <v/>
      </c>
      <c r="G647">
        <f>IF(ISBLANK(A647), "", XLOOKUP(C647, 'Fees &amp; Postage Table'!A:A, 'Fees &amp; Postage Table'!D:D, 0))</f>
        <v/>
      </c>
      <c r="H647">
        <f>IF(ISBLANK(A647), "", B647 - E647 - F647 - G647)</f>
        <v/>
      </c>
      <c r="I647">
        <f>IF(ISBLANK(A647), "", D647 - XLOOKUP(A647, Inventory!A:A, Inventory!H:H, TODAY()))</f>
        <v/>
      </c>
    </row>
    <row r="648">
      <c r="E648">
        <f>IF(ISBLANK(A648), "", XLOOKUP(A648, Inventory!A:A, Inventory!E:E, 0))</f>
        <v/>
      </c>
      <c r="F648">
        <f>IF(ISBLANK(A648), "", (B648 * XLOOKUP(C648, 'Fees &amp; Postage Table'!A:A, 'Fees &amp; Postage Table'!C:C, 0)) + XLOOKUP(C648, 'Fees &amp; Postage Table'!A:A, 'Fees &amp; Postage Table'!B:B, 0))</f>
        <v/>
      </c>
      <c r="G648">
        <f>IF(ISBLANK(A648), "", XLOOKUP(C648, 'Fees &amp; Postage Table'!A:A, 'Fees &amp; Postage Table'!D:D, 0))</f>
        <v/>
      </c>
      <c r="H648">
        <f>IF(ISBLANK(A648), "", B648 - E648 - F648 - G648)</f>
        <v/>
      </c>
      <c r="I648">
        <f>IF(ISBLANK(A648), "", D648 - XLOOKUP(A648, Inventory!A:A, Inventory!H:H, TODAY()))</f>
        <v/>
      </c>
    </row>
    <row r="649">
      <c r="E649">
        <f>IF(ISBLANK(A649), "", XLOOKUP(A649, Inventory!A:A, Inventory!E:E, 0))</f>
        <v/>
      </c>
      <c r="F649">
        <f>IF(ISBLANK(A649), "", (B649 * XLOOKUP(C649, 'Fees &amp; Postage Table'!A:A, 'Fees &amp; Postage Table'!C:C, 0)) + XLOOKUP(C649, 'Fees &amp; Postage Table'!A:A, 'Fees &amp; Postage Table'!B:B, 0))</f>
        <v/>
      </c>
      <c r="G649">
        <f>IF(ISBLANK(A649), "", XLOOKUP(C649, 'Fees &amp; Postage Table'!A:A, 'Fees &amp; Postage Table'!D:D, 0))</f>
        <v/>
      </c>
      <c r="H649">
        <f>IF(ISBLANK(A649), "", B649 - E649 - F649 - G649)</f>
        <v/>
      </c>
      <c r="I649">
        <f>IF(ISBLANK(A649), "", D649 - XLOOKUP(A649, Inventory!A:A, Inventory!H:H, TODAY()))</f>
        <v/>
      </c>
    </row>
    <row r="650">
      <c r="E650">
        <f>IF(ISBLANK(A650), "", XLOOKUP(A650, Inventory!A:A, Inventory!E:E, 0))</f>
        <v/>
      </c>
      <c r="F650">
        <f>IF(ISBLANK(A650), "", (B650 * XLOOKUP(C650, 'Fees &amp; Postage Table'!A:A, 'Fees &amp; Postage Table'!C:C, 0)) + XLOOKUP(C650, 'Fees &amp; Postage Table'!A:A, 'Fees &amp; Postage Table'!B:B, 0))</f>
        <v/>
      </c>
      <c r="G650">
        <f>IF(ISBLANK(A650), "", XLOOKUP(C650, 'Fees &amp; Postage Table'!A:A, 'Fees &amp; Postage Table'!D:D, 0))</f>
        <v/>
      </c>
      <c r="H650">
        <f>IF(ISBLANK(A650), "", B650 - E650 - F650 - G650)</f>
        <v/>
      </c>
      <c r="I650">
        <f>IF(ISBLANK(A650), "", D650 - XLOOKUP(A650, Inventory!A:A, Inventory!H:H, TODAY()))</f>
        <v/>
      </c>
    </row>
    <row r="651">
      <c r="E651">
        <f>IF(ISBLANK(A651), "", XLOOKUP(A651, Inventory!A:A, Inventory!E:E, 0))</f>
        <v/>
      </c>
      <c r="F651">
        <f>IF(ISBLANK(A651), "", (B651 * XLOOKUP(C651, 'Fees &amp; Postage Table'!A:A, 'Fees &amp; Postage Table'!C:C, 0)) + XLOOKUP(C651, 'Fees &amp; Postage Table'!A:A, 'Fees &amp; Postage Table'!B:B, 0))</f>
        <v/>
      </c>
      <c r="G651">
        <f>IF(ISBLANK(A651), "", XLOOKUP(C651, 'Fees &amp; Postage Table'!A:A, 'Fees &amp; Postage Table'!D:D, 0))</f>
        <v/>
      </c>
      <c r="H651">
        <f>IF(ISBLANK(A651), "", B651 - E651 - F651 - G651)</f>
        <v/>
      </c>
      <c r="I651">
        <f>IF(ISBLANK(A651), "", D651 - XLOOKUP(A651, Inventory!A:A, Inventory!H:H, TODAY()))</f>
        <v/>
      </c>
    </row>
    <row r="652">
      <c r="E652">
        <f>IF(ISBLANK(A652), "", XLOOKUP(A652, Inventory!A:A, Inventory!E:E, 0))</f>
        <v/>
      </c>
      <c r="F652">
        <f>IF(ISBLANK(A652), "", (B652 * XLOOKUP(C652, 'Fees &amp; Postage Table'!A:A, 'Fees &amp; Postage Table'!C:C, 0)) + XLOOKUP(C652, 'Fees &amp; Postage Table'!A:A, 'Fees &amp; Postage Table'!B:B, 0))</f>
        <v/>
      </c>
      <c r="G652">
        <f>IF(ISBLANK(A652), "", XLOOKUP(C652, 'Fees &amp; Postage Table'!A:A, 'Fees &amp; Postage Table'!D:D, 0))</f>
        <v/>
      </c>
      <c r="H652">
        <f>IF(ISBLANK(A652), "", B652 - E652 - F652 - G652)</f>
        <v/>
      </c>
      <c r="I652">
        <f>IF(ISBLANK(A652), "", D652 - XLOOKUP(A652, Inventory!A:A, Inventory!H:H, TODAY()))</f>
        <v/>
      </c>
    </row>
    <row r="653">
      <c r="E653">
        <f>IF(ISBLANK(A653), "", XLOOKUP(A653, Inventory!A:A, Inventory!E:E, 0))</f>
        <v/>
      </c>
      <c r="F653">
        <f>IF(ISBLANK(A653), "", (B653 * XLOOKUP(C653, 'Fees &amp; Postage Table'!A:A, 'Fees &amp; Postage Table'!C:C, 0)) + XLOOKUP(C653, 'Fees &amp; Postage Table'!A:A, 'Fees &amp; Postage Table'!B:B, 0))</f>
        <v/>
      </c>
      <c r="G653">
        <f>IF(ISBLANK(A653), "", XLOOKUP(C653, 'Fees &amp; Postage Table'!A:A, 'Fees &amp; Postage Table'!D:D, 0))</f>
        <v/>
      </c>
      <c r="H653">
        <f>IF(ISBLANK(A653), "", B653 - E653 - F653 - G653)</f>
        <v/>
      </c>
      <c r="I653">
        <f>IF(ISBLANK(A653), "", D653 - XLOOKUP(A653, Inventory!A:A, Inventory!H:H, TODAY()))</f>
        <v/>
      </c>
    </row>
    <row r="654">
      <c r="E654">
        <f>IF(ISBLANK(A654), "", XLOOKUP(A654, Inventory!A:A, Inventory!E:E, 0))</f>
        <v/>
      </c>
      <c r="F654">
        <f>IF(ISBLANK(A654), "", (B654 * XLOOKUP(C654, 'Fees &amp; Postage Table'!A:A, 'Fees &amp; Postage Table'!C:C, 0)) + XLOOKUP(C654, 'Fees &amp; Postage Table'!A:A, 'Fees &amp; Postage Table'!B:B, 0))</f>
        <v/>
      </c>
      <c r="G654">
        <f>IF(ISBLANK(A654), "", XLOOKUP(C654, 'Fees &amp; Postage Table'!A:A, 'Fees &amp; Postage Table'!D:D, 0))</f>
        <v/>
      </c>
      <c r="H654">
        <f>IF(ISBLANK(A654), "", B654 - E654 - F654 - G654)</f>
        <v/>
      </c>
      <c r="I654">
        <f>IF(ISBLANK(A654), "", D654 - XLOOKUP(A654, Inventory!A:A, Inventory!H:H, TODAY()))</f>
        <v/>
      </c>
    </row>
    <row r="655">
      <c r="E655">
        <f>IF(ISBLANK(A655), "", XLOOKUP(A655, Inventory!A:A, Inventory!E:E, 0))</f>
        <v/>
      </c>
      <c r="F655">
        <f>IF(ISBLANK(A655), "", (B655 * XLOOKUP(C655, 'Fees &amp; Postage Table'!A:A, 'Fees &amp; Postage Table'!C:C, 0)) + XLOOKUP(C655, 'Fees &amp; Postage Table'!A:A, 'Fees &amp; Postage Table'!B:B, 0))</f>
        <v/>
      </c>
      <c r="G655">
        <f>IF(ISBLANK(A655), "", XLOOKUP(C655, 'Fees &amp; Postage Table'!A:A, 'Fees &amp; Postage Table'!D:D, 0))</f>
        <v/>
      </c>
      <c r="H655">
        <f>IF(ISBLANK(A655), "", B655 - E655 - F655 - G655)</f>
        <v/>
      </c>
      <c r="I655">
        <f>IF(ISBLANK(A655), "", D655 - XLOOKUP(A655, Inventory!A:A, Inventory!H:H, TODAY()))</f>
        <v/>
      </c>
    </row>
    <row r="656">
      <c r="E656">
        <f>IF(ISBLANK(A656), "", XLOOKUP(A656, Inventory!A:A, Inventory!E:E, 0))</f>
        <v/>
      </c>
      <c r="F656">
        <f>IF(ISBLANK(A656), "", (B656 * XLOOKUP(C656, 'Fees &amp; Postage Table'!A:A, 'Fees &amp; Postage Table'!C:C, 0)) + XLOOKUP(C656, 'Fees &amp; Postage Table'!A:A, 'Fees &amp; Postage Table'!B:B, 0))</f>
        <v/>
      </c>
      <c r="G656">
        <f>IF(ISBLANK(A656), "", XLOOKUP(C656, 'Fees &amp; Postage Table'!A:A, 'Fees &amp; Postage Table'!D:D, 0))</f>
        <v/>
      </c>
      <c r="H656">
        <f>IF(ISBLANK(A656), "", B656 - E656 - F656 - G656)</f>
        <v/>
      </c>
      <c r="I656">
        <f>IF(ISBLANK(A656), "", D656 - XLOOKUP(A656, Inventory!A:A, Inventory!H:H, TODAY()))</f>
        <v/>
      </c>
    </row>
    <row r="657">
      <c r="E657">
        <f>IF(ISBLANK(A657), "", XLOOKUP(A657, Inventory!A:A, Inventory!E:E, 0))</f>
        <v/>
      </c>
      <c r="F657">
        <f>IF(ISBLANK(A657), "", (B657 * XLOOKUP(C657, 'Fees &amp; Postage Table'!A:A, 'Fees &amp; Postage Table'!C:C, 0)) + XLOOKUP(C657, 'Fees &amp; Postage Table'!A:A, 'Fees &amp; Postage Table'!B:B, 0))</f>
        <v/>
      </c>
      <c r="G657">
        <f>IF(ISBLANK(A657), "", XLOOKUP(C657, 'Fees &amp; Postage Table'!A:A, 'Fees &amp; Postage Table'!D:D, 0))</f>
        <v/>
      </c>
      <c r="H657">
        <f>IF(ISBLANK(A657), "", B657 - E657 - F657 - G657)</f>
        <v/>
      </c>
      <c r="I657">
        <f>IF(ISBLANK(A657), "", D657 - XLOOKUP(A657, Inventory!A:A, Inventory!H:H, TODAY()))</f>
        <v/>
      </c>
    </row>
    <row r="658">
      <c r="E658">
        <f>IF(ISBLANK(A658), "", XLOOKUP(A658, Inventory!A:A, Inventory!E:E, 0))</f>
        <v/>
      </c>
      <c r="F658">
        <f>IF(ISBLANK(A658), "", (B658 * XLOOKUP(C658, 'Fees &amp; Postage Table'!A:A, 'Fees &amp; Postage Table'!C:C, 0)) + XLOOKUP(C658, 'Fees &amp; Postage Table'!A:A, 'Fees &amp; Postage Table'!B:B, 0))</f>
        <v/>
      </c>
      <c r="G658">
        <f>IF(ISBLANK(A658), "", XLOOKUP(C658, 'Fees &amp; Postage Table'!A:A, 'Fees &amp; Postage Table'!D:D, 0))</f>
        <v/>
      </c>
      <c r="H658">
        <f>IF(ISBLANK(A658), "", B658 - E658 - F658 - G658)</f>
        <v/>
      </c>
      <c r="I658">
        <f>IF(ISBLANK(A658), "", D658 - XLOOKUP(A658, Inventory!A:A, Inventory!H:H, TODAY()))</f>
        <v/>
      </c>
    </row>
    <row r="659">
      <c r="E659">
        <f>IF(ISBLANK(A659), "", XLOOKUP(A659, Inventory!A:A, Inventory!E:E, 0))</f>
        <v/>
      </c>
      <c r="F659">
        <f>IF(ISBLANK(A659), "", (B659 * XLOOKUP(C659, 'Fees &amp; Postage Table'!A:A, 'Fees &amp; Postage Table'!C:C, 0)) + XLOOKUP(C659, 'Fees &amp; Postage Table'!A:A, 'Fees &amp; Postage Table'!B:B, 0))</f>
        <v/>
      </c>
      <c r="G659">
        <f>IF(ISBLANK(A659), "", XLOOKUP(C659, 'Fees &amp; Postage Table'!A:A, 'Fees &amp; Postage Table'!D:D, 0))</f>
        <v/>
      </c>
      <c r="H659">
        <f>IF(ISBLANK(A659), "", B659 - E659 - F659 - G659)</f>
        <v/>
      </c>
      <c r="I659">
        <f>IF(ISBLANK(A659), "", D659 - XLOOKUP(A659, Inventory!A:A, Inventory!H:H, TODAY()))</f>
        <v/>
      </c>
    </row>
    <row r="660">
      <c r="E660">
        <f>IF(ISBLANK(A660), "", XLOOKUP(A660, Inventory!A:A, Inventory!E:E, 0))</f>
        <v/>
      </c>
      <c r="F660">
        <f>IF(ISBLANK(A660), "", (B660 * XLOOKUP(C660, 'Fees &amp; Postage Table'!A:A, 'Fees &amp; Postage Table'!C:C, 0)) + XLOOKUP(C660, 'Fees &amp; Postage Table'!A:A, 'Fees &amp; Postage Table'!B:B, 0))</f>
        <v/>
      </c>
      <c r="G660">
        <f>IF(ISBLANK(A660), "", XLOOKUP(C660, 'Fees &amp; Postage Table'!A:A, 'Fees &amp; Postage Table'!D:D, 0))</f>
        <v/>
      </c>
      <c r="H660">
        <f>IF(ISBLANK(A660), "", B660 - E660 - F660 - G660)</f>
        <v/>
      </c>
      <c r="I660">
        <f>IF(ISBLANK(A660), "", D660 - XLOOKUP(A660, Inventory!A:A, Inventory!H:H, TODAY()))</f>
        <v/>
      </c>
    </row>
    <row r="661">
      <c r="E661">
        <f>IF(ISBLANK(A661), "", XLOOKUP(A661, Inventory!A:A, Inventory!E:E, 0))</f>
        <v/>
      </c>
      <c r="F661">
        <f>IF(ISBLANK(A661), "", (B661 * XLOOKUP(C661, 'Fees &amp; Postage Table'!A:A, 'Fees &amp; Postage Table'!C:C, 0)) + XLOOKUP(C661, 'Fees &amp; Postage Table'!A:A, 'Fees &amp; Postage Table'!B:B, 0))</f>
        <v/>
      </c>
      <c r="G661">
        <f>IF(ISBLANK(A661), "", XLOOKUP(C661, 'Fees &amp; Postage Table'!A:A, 'Fees &amp; Postage Table'!D:D, 0))</f>
        <v/>
      </c>
      <c r="H661">
        <f>IF(ISBLANK(A661), "", B661 - E661 - F661 - G661)</f>
        <v/>
      </c>
      <c r="I661">
        <f>IF(ISBLANK(A661), "", D661 - XLOOKUP(A661, Inventory!A:A, Inventory!H:H, TODAY()))</f>
        <v/>
      </c>
    </row>
    <row r="662">
      <c r="E662">
        <f>IF(ISBLANK(A662), "", XLOOKUP(A662, Inventory!A:A, Inventory!E:E, 0))</f>
        <v/>
      </c>
      <c r="F662">
        <f>IF(ISBLANK(A662), "", (B662 * XLOOKUP(C662, 'Fees &amp; Postage Table'!A:A, 'Fees &amp; Postage Table'!C:C, 0)) + XLOOKUP(C662, 'Fees &amp; Postage Table'!A:A, 'Fees &amp; Postage Table'!B:B, 0))</f>
        <v/>
      </c>
      <c r="G662">
        <f>IF(ISBLANK(A662), "", XLOOKUP(C662, 'Fees &amp; Postage Table'!A:A, 'Fees &amp; Postage Table'!D:D, 0))</f>
        <v/>
      </c>
      <c r="H662">
        <f>IF(ISBLANK(A662), "", B662 - E662 - F662 - G662)</f>
        <v/>
      </c>
      <c r="I662">
        <f>IF(ISBLANK(A662), "", D662 - XLOOKUP(A662, Inventory!A:A, Inventory!H:H, TODAY()))</f>
        <v/>
      </c>
    </row>
    <row r="663">
      <c r="E663">
        <f>IF(ISBLANK(A663), "", XLOOKUP(A663, Inventory!A:A, Inventory!E:E, 0))</f>
        <v/>
      </c>
      <c r="F663">
        <f>IF(ISBLANK(A663), "", (B663 * XLOOKUP(C663, 'Fees &amp; Postage Table'!A:A, 'Fees &amp; Postage Table'!C:C, 0)) + XLOOKUP(C663, 'Fees &amp; Postage Table'!A:A, 'Fees &amp; Postage Table'!B:B, 0))</f>
        <v/>
      </c>
      <c r="G663">
        <f>IF(ISBLANK(A663), "", XLOOKUP(C663, 'Fees &amp; Postage Table'!A:A, 'Fees &amp; Postage Table'!D:D, 0))</f>
        <v/>
      </c>
      <c r="H663">
        <f>IF(ISBLANK(A663), "", B663 - E663 - F663 - G663)</f>
        <v/>
      </c>
      <c r="I663">
        <f>IF(ISBLANK(A663), "", D663 - XLOOKUP(A663, Inventory!A:A, Inventory!H:H, TODAY()))</f>
        <v/>
      </c>
    </row>
    <row r="664">
      <c r="E664">
        <f>IF(ISBLANK(A664), "", XLOOKUP(A664, Inventory!A:A, Inventory!E:E, 0))</f>
        <v/>
      </c>
      <c r="F664">
        <f>IF(ISBLANK(A664), "", (B664 * XLOOKUP(C664, 'Fees &amp; Postage Table'!A:A, 'Fees &amp; Postage Table'!C:C, 0)) + XLOOKUP(C664, 'Fees &amp; Postage Table'!A:A, 'Fees &amp; Postage Table'!B:B, 0))</f>
        <v/>
      </c>
      <c r="G664">
        <f>IF(ISBLANK(A664), "", XLOOKUP(C664, 'Fees &amp; Postage Table'!A:A, 'Fees &amp; Postage Table'!D:D, 0))</f>
        <v/>
      </c>
      <c r="H664">
        <f>IF(ISBLANK(A664), "", B664 - E664 - F664 - G664)</f>
        <v/>
      </c>
      <c r="I664">
        <f>IF(ISBLANK(A664), "", D664 - XLOOKUP(A664, Inventory!A:A, Inventory!H:H, TODAY()))</f>
        <v/>
      </c>
    </row>
    <row r="665">
      <c r="E665">
        <f>IF(ISBLANK(A665), "", XLOOKUP(A665, Inventory!A:A, Inventory!E:E, 0))</f>
        <v/>
      </c>
      <c r="F665">
        <f>IF(ISBLANK(A665), "", (B665 * XLOOKUP(C665, 'Fees &amp; Postage Table'!A:A, 'Fees &amp; Postage Table'!C:C, 0)) + XLOOKUP(C665, 'Fees &amp; Postage Table'!A:A, 'Fees &amp; Postage Table'!B:B, 0))</f>
        <v/>
      </c>
      <c r="G665">
        <f>IF(ISBLANK(A665), "", XLOOKUP(C665, 'Fees &amp; Postage Table'!A:A, 'Fees &amp; Postage Table'!D:D, 0))</f>
        <v/>
      </c>
      <c r="H665">
        <f>IF(ISBLANK(A665), "", B665 - E665 - F665 - G665)</f>
        <v/>
      </c>
      <c r="I665">
        <f>IF(ISBLANK(A665), "", D665 - XLOOKUP(A665, Inventory!A:A, Inventory!H:H, TODAY()))</f>
        <v/>
      </c>
    </row>
    <row r="666">
      <c r="E666">
        <f>IF(ISBLANK(A666), "", XLOOKUP(A666, Inventory!A:A, Inventory!E:E, 0))</f>
        <v/>
      </c>
      <c r="F666">
        <f>IF(ISBLANK(A666), "", (B666 * XLOOKUP(C666, 'Fees &amp; Postage Table'!A:A, 'Fees &amp; Postage Table'!C:C, 0)) + XLOOKUP(C666, 'Fees &amp; Postage Table'!A:A, 'Fees &amp; Postage Table'!B:B, 0))</f>
        <v/>
      </c>
      <c r="G666">
        <f>IF(ISBLANK(A666), "", XLOOKUP(C666, 'Fees &amp; Postage Table'!A:A, 'Fees &amp; Postage Table'!D:D, 0))</f>
        <v/>
      </c>
      <c r="H666">
        <f>IF(ISBLANK(A666), "", B666 - E666 - F666 - G666)</f>
        <v/>
      </c>
      <c r="I666">
        <f>IF(ISBLANK(A666), "", D666 - XLOOKUP(A666, Inventory!A:A, Inventory!H:H, TODAY()))</f>
        <v/>
      </c>
    </row>
    <row r="667">
      <c r="E667">
        <f>IF(ISBLANK(A667), "", XLOOKUP(A667, Inventory!A:A, Inventory!E:E, 0))</f>
        <v/>
      </c>
      <c r="F667">
        <f>IF(ISBLANK(A667), "", (B667 * XLOOKUP(C667, 'Fees &amp; Postage Table'!A:A, 'Fees &amp; Postage Table'!C:C, 0)) + XLOOKUP(C667, 'Fees &amp; Postage Table'!A:A, 'Fees &amp; Postage Table'!B:B, 0))</f>
        <v/>
      </c>
      <c r="G667">
        <f>IF(ISBLANK(A667), "", XLOOKUP(C667, 'Fees &amp; Postage Table'!A:A, 'Fees &amp; Postage Table'!D:D, 0))</f>
        <v/>
      </c>
      <c r="H667">
        <f>IF(ISBLANK(A667), "", B667 - E667 - F667 - G667)</f>
        <v/>
      </c>
      <c r="I667">
        <f>IF(ISBLANK(A667), "", D667 - XLOOKUP(A667, Inventory!A:A, Inventory!H:H, TODAY()))</f>
        <v/>
      </c>
    </row>
    <row r="668">
      <c r="E668">
        <f>IF(ISBLANK(A668), "", XLOOKUP(A668, Inventory!A:A, Inventory!E:E, 0))</f>
        <v/>
      </c>
      <c r="F668">
        <f>IF(ISBLANK(A668), "", (B668 * XLOOKUP(C668, 'Fees &amp; Postage Table'!A:A, 'Fees &amp; Postage Table'!C:C, 0)) + XLOOKUP(C668, 'Fees &amp; Postage Table'!A:A, 'Fees &amp; Postage Table'!B:B, 0))</f>
        <v/>
      </c>
      <c r="G668">
        <f>IF(ISBLANK(A668), "", XLOOKUP(C668, 'Fees &amp; Postage Table'!A:A, 'Fees &amp; Postage Table'!D:D, 0))</f>
        <v/>
      </c>
      <c r="H668">
        <f>IF(ISBLANK(A668), "", B668 - E668 - F668 - G668)</f>
        <v/>
      </c>
      <c r="I668">
        <f>IF(ISBLANK(A668), "", D668 - XLOOKUP(A668, Inventory!A:A, Inventory!H:H, TODAY()))</f>
        <v/>
      </c>
    </row>
    <row r="669">
      <c r="E669">
        <f>IF(ISBLANK(A669), "", XLOOKUP(A669, Inventory!A:A, Inventory!E:E, 0))</f>
        <v/>
      </c>
      <c r="F669">
        <f>IF(ISBLANK(A669), "", (B669 * XLOOKUP(C669, 'Fees &amp; Postage Table'!A:A, 'Fees &amp; Postage Table'!C:C, 0)) + XLOOKUP(C669, 'Fees &amp; Postage Table'!A:A, 'Fees &amp; Postage Table'!B:B, 0))</f>
        <v/>
      </c>
      <c r="G669">
        <f>IF(ISBLANK(A669), "", XLOOKUP(C669, 'Fees &amp; Postage Table'!A:A, 'Fees &amp; Postage Table'!D:D, 0))</f>
        <v/>
      </c>
      <c r="H669">
        <f>IF(ISBLANK(A669), "", B669 - E669 - F669 - G669)</f>
        <v/>
      </c>
      <c r="I669">
        <f>IF(ISBLANK(A669), "", D669 - XLOOKUP(A669, Inventory!A:A, Inventory!H:H, TODAY()))</f>
        <v/>
      </c>
    </row>
    <row r="670">
      <c r="E670">
        <f>IF(ISBLANK(A670), "", XLOOKUP(A670, Inventory!A:A, Inventory!E:E, 0))</f>
        <v/>
      </c>
      <c r="F670">
        <f>IF(ISBLANK(A670), "", (B670 * XLOOKUP(C670, 'Fees &amp; Postage Table'!A:A, 'Fees &amp; Postage Table'!C:C, 0)) + XLOOKUP(C670, 'Fees &amp; Postage Table'!A:A, 'Fees &amp; Postage Table'!B:B, 0))</f>
        <v/>
      </c>
      <c r="G670">
        <f>IF(ISBLANK(A670), "", XLOOKUP(C670, 'Fees &amp; Postage Table'!A:A, 'Fees &amp; Postage Table'!D:D, 0))</f>
        <v/>
      </c>
      <c r="H670">
        <f>IF(ISBLANK(A670), "", B670 - E670 - F670 - G670)</f>
        <v/>
      </c>
      <c r="I670">
        <f>IF(ISBLANK(A670), "", D670 - XLOOKUP(A670, Inventory!A:A, Inventory!H:H, TODAY()))</f>
        <v/>
      </c>
    </row>
    <row r="671">
      <c r="E671">
        <f>IF(ISBLANK(A671), "", XLOOKUP(A671, Inventory!A:A, Inventory!E:E, 0))</f>
        <v/>
      </c>
      <c r="F671">
        <f>IF(ISBLANK(A671), "", (B671 * XLOOKUP(C671, 'Fees &amp; Postage Table'!A:A, 'Fees &amp; Postage Table'!C:C, 0)) + XLOOKUP(C671, 'Fees &amp; Postage Table'!A:A, 'Fees &amp; Postage Table'!B:B, 0))</f>
        <v/>
      </c>
      <c r="G671">
        <f>IF(ISBLANK(A671), "", XLOOKUP(C671, 'Fees &amp; Postage Table'!A:A, 'Fees &amp; Postage Table'!D:D, 0))</f>
        <v/>
      </c>
      <c r="H671">
        <f>IF(ISBLANK(A671), "", B671 - E671 - F671 - G671)</f>
        <v/>
      </c>
      <c r="I671">
        <f>IF(ISBLANK(A671), "", D671 - XLOOKUP(A671, Inventory!A:A, Inventory!H:H, TODAY()))</f>
        <v/>
      </c>
    </row>
    <row r="672">
      <c r="E672">
        <f>IF(ISBLANK(A672), "", XLOOKUP(A672, Inventory!A:A, Inventory!E:E, 0))</f>
        <v/>
      </c>
      <c r="F672">
        <f>IF(ISBLANK(A672), "", (B672 * XLOOKUP(C672, 'Fees &amp; Postage Table'!A:A, 'Fees &amp; Postage Table'!C:C, 0)) + XLOOKUP(C672, 'Fees &amp; Postage Table'!A:A, 'Fees &amp; Postage Table'!B:B, 0))</f>
        <v/>
      </c>
      <c r="G672">
        <f>IF(ISBLANK(A672), "", XLOOKUP(C672, 'Fees &amp; Postage Table'!A:A, 'Fees &amp; Postage Table'!D:D, 0))</f>
        <v/>
      </c>
      <c r="H672">
        <f>IF(ISBLANK(A672), "", B672 - E672 - F672 - G672)</f>
        <v/>
      </c>
      <c r="I672">
        <f>IF(ISBLANK(A672), "", D672 - XLOOKUP(A672, Inventory!A:A, Inventory!H:H, TODAY()))</f>
        <v/>
      </c>
    </row>
    <row r="673">
      <c r="E673">
        <f>IF(ISBLANK(A673), "", XLOOKUP(A673, Inventory!A:A, Inventory!E:E, 0))</f>
        <v/>
      </c>
      <c r="F673">
        <f>IF(ISBLANK(A673), "", (B673 * XLOOKUP(C673, 'Fees &amp; Postage Table'!A:A, 'Fees &amp; Postage Table'!C:C, 0)) + XLOOKUP(C673, 'Fees &amp; Postage Table'!A:A, 'Fees &amp; Postage Table'!B:B, 0))</f>
        <v/>
      </c>
      <c r="G673">
        <f>IF(ISBLANK(A673), "", XLOOKUP(C673, 'Fees &amp; Postage Table'!A:A, 'Fees &amp; Postage Table'!D:D, 0))</f>
        <v/>
      </c>
      <c r="H673">
        <f>IF(ISBLANK(A673), "", B673 - E673 - F673 - G673)</f>
        <v/>
      </c>
      <c r="I673">
        <f>IF(ISBLANK(A673), "", D673 - XLOOKUP(A673, Inventory!A:A, Inventory!H:H, TODAY()))</f>
        <v/>
      </c>
    </row>
    <row r="674">
      <c r="E674">
        <f>IF(ISBLANK(A674), "", XLOOKUP(A674, Inventory!A:A, Inventory!E:E, 0))</f>
        <v/>
      </c>
      <c r="F674">
        <f>IF(ISBLANK(A674), "", (B674 * XLOOKUP(C674, 'Fees &amp; Postage Table'!A:A, 'Fees &amp; Postage Table'!C:C, 0)) + XLOOKUP(C674, 'Fees &amp; Postage Table'!A:A, 'Fees &amp; Postage Table'!B:B, 0))</f>
        <v/>
      </c>
      <c r="G674">
        <f>IF(ISBLANK(A674), "", XLOOKUP(C674, 'Fees &amp; Postage Table'!A:A, 'Fees &amp; Postage Table'!D:D, 0))</f>
        <v/>
      </c>
      <c r="H674">
        <f>IF(ISBLANK(A674), "", B674 - E674 - F674 - G674)</f>
        <v/>
      </c>
      <c r="I674">
        <f>IF(ISBLANK(A674), "", D674 - XLOOKUP(A674, Inventory!A:A, Inventory!H:H, TODAY()))</f>
        <v/>
      </c>
    </row>
    <row r="675">
      <c r="E675">
        <f>IF(ISBLANK(A675), "", XLOOKUP(A675, Inventory!A:A, Inventory!E:E, 0))</f>
        <v/>
      </c>
      <c r="F675">
        <f>IF(ISBLANK(A675), "", (B675 * XLOOKUP(C675, 'Fees &amp; Postage Table'!A:A, 'Fees &amp; Postage Table'!C:C, 0)) + XLOOKUP(C675, 'Fees &amp; Postage Table'!A:A, 'Fees &amp; Postage Table'!B:B, 0))</f>
        <v/>
      </c>
      <c r="G675">
        <f>IF(ISBLANK(A675), "", XLOOKUP(C675, 'Fees &amp; Postage Table'!A:A, 'Fees &amp; Postage Table'!D:D, 0))</f>
        <v/>
      </c>
      <c r="H675">
        <f>IF(ISBLANK(A675), "", B675 - E675 - F675 - G675)</f>
        <v/>
      </c>
      <c r="I675">
        <f>IF(ISBLANK(A675), "", D675 - XLOOKUP(A675, Inventory!A:A, Inventory!H:H, TODAY()))</f>
        <v/>
      </c>
    </row>
    <row r="676">
      <c r="E676">
        <f>IF(ISBLANK(A676), "", XLOOKUP(A676, Inventory!A:A, Inventory!E:E, 0))</f>
        <v/>
      </c>
      <c r="F676">
        <f>IF(ISBLANK(A676), "", (B676 * XLOOKUP(C676, 'Fees &amp; Postage Table'!A:A, 'Fees &amp; Postage Table'!C:C, 0)) + XLOOKUP(C676, 'Fees &amp; Postage Table'!A:A, 'Fees &amp; Postage Table'!B:B, 0))</f>
        <v/>
      </c>
      <c r="G676">
        <f>IF(ISBLANK(A676), "", XLOOKUP(C676, 'Fees &amp; Postage Table'!A:A, 'Fees &amp; Postage Table'!D:D, 0))</f>
        <v/>
      </c>
      <c r="H676">
        <f>IF(ISBLANK(A676), "", B676 - E676 - F676 - G676)</f>
        <v/>
      </c>
      <c r="I676">
        <f>IF(ISBLANK(A676), "", D676 - XLOOKUP(A676, Inventory!A:A, Inventory!H:H, TODAY()))</f>
        <v/>
      </c>
    </row>
    <row r="677">
      <c r="E677">
        <f>IF(ISBLANK(A677), "", XLOOKUP(A677, Inventory!A:A, Inventory!E:E, 0))</f>
        <v/>
      </c>
      <c r="F677">
        <f>IF(ISBLANK(A677), "", (B677 * XLOOKUP(C677, 'Fees &amp; Postage Table'!A:A, 'Fees &amp; Postage Table'!C:C, 0)) + XLOOKUP(C677, 'Fees &amp; Postage Table'!A:A, 'Fees &amp; Postage Table'!B:B, 0))</f>
        <v/>
      </c>
      <c r="G677">
        <f>IF(ISBLANK(A677), "", XLOOKUP(C677, 'Fees &amp; Postage Table'!A:A, 'Fees &amp; Postage Table'!D:D, 0))</f>
        <v/>
      </c>
      <c r="H677">
        <f>IF(ISBLANK(A677), "", B677 - E677 - F677 - G677)</f>
        <v/>
      </c>
      <c r="I677">
        <f>IF(ISBLANK(A677), "", D677 - XLOOKUP(A677, Inventory!A:A, Inventory!H:H, TODAY()))</f>
        <v/>
      </c>
    </row>
    <row r="678">
      <c r="E678">
        <f>IF(ISBLANK(A678), "", XLOOKUP(A678, Inventory!A:A, Inventory!E:E, 0))</f>
        <v/>
      </c>
      <c r="F678">
        <f>IF(ISBLANK(A678), "", (B678 * XLOOKUP(C678, 'Fees &amp; Postage Table'!A:A, 'Fees &amp; Postage Table'!C:C, 0)) + XLOOKUP(C678, 'Fees &amp; Postage Table'!A:A, 'Fees &amp; Postage Table'!B:B, 0))</f>
        <v/>
      </c>
      <c r="G678">
        <f>IF(ISBLANK(A678), "", XLOOKUP(C678, 'Fees &amp; Postage Table'!A:A, 'Fees &amp; Postage Table'!D:D, 0))</f>
        <v/>
      </c>
      <c r="H678">
        <f>IF(ISBLANK(A678), "", B678 - E678 - F678 - G678)</f>
        <v/>
      </c>
      <c r="I678">
        <f>IF(ISBLANK(A678), "", D678 - XLOOKUP(A678, Inventory!A:A, Inventory!H:H, TODAY()))</f>
        <v/>
      </c>
    </row>
    <row r="679">
      <c r="E679">
        <f>IF(ISBLANK(A679), "", XLOOKUP(A679, Inventory!A:A, Inventory!E:E, 0))</f>
        <v/>
      </c>
      <c r="F679">
        <f>IF(ISBLANK(A679), "", (B679 * XLOOKUP(C679, 'Fees &amp; Postage Table'!A:A, 'Fees &amp; Postage Table'!C:C, 0)) + XLOOKUP(C679, 'Fees &amp; Postage Table'!A:A, 'Fees &amp; Postage Table'!B:B, 0))</f>
        <v/>
      </c>
      <c r="G679">
        <f>IF(ISBLANK(A679), "", XLOOKUP(C679, 'Fees &amp; Postage Table'!A:A, 'Fees &amp; Postage Table'!D:D, 0))</f>
        <v/>
      </c>
      <c r="H679">
        <f>IF(ISBLANK(A679), "", B679 - E679 - F679 - G679)</f>
        <v/>
      </c>
      <c r="I679">
        <f>IF(ISBLANK(A679), "", D679 - XLOOKUP(A679, Inventory!A:A, Inventory!H:H, TODAY()))</f>
        <v/>
      </c>
    </row>
    <row r="680">
      <c r="E680">
        <f>IF(ISBLANK(A680), "", XLOOKUP(A680, Inventory!A:A, Inventory!E:E, 0))</f>
        <v/>
      </c>
      <c r="F680">
        <f>IF(ISBLANK(A680), "", (B680 * XLOOKUP(C680, 'Fees &amp; Postage Table'!A:A, 'Fees &amp; Postage Table'!C:C, 0)) + XLOOKUP(C680, 'Fees &amp; Postage Table'!A:A, 'Fees &amp; Postage Table'!B:B, 0))</f>
        <v/>
      </c>
      <c r="G680">
        <f>IF(ISBLANK(A680), "", XLOOKUP(C680, 'Fees &amp; Postage Table'!A:A, 'Fees &amp; Postage Table'!D:D, 0))</f>
        <v/>
      </c>
      <c r="H680">
        <f>IF(ISBLANK(A680), "", B680 - E680 - F680 - G680)</f>
        <v/>
      </c>
      <c r="I680">
        <f>IF(ISBLANK(A680), "", D680 - XLOOKUP(A680, Inventory!A:A, Inventory!H:H, TODAY()))</f>
        <v/>
      </c>
    </row>
    <row r="681">
      <c r="E681">
        <f>IF(ISBLANK(A681), "", XLOOKUP(A681, Inventory!A:A, Inventory!E:E, 0))</f>
        <v/>
      </c>
      <c r="F681">
        <f>IF(ISBLANK(A681), "", (B681 * XLOOKUP(C681, 'Fees &amp; Postage Table'!A:A, 'Fees &amp; Postage Table'!C:C, 0)) + XLOOKUP(C681, 'Fees &amp; Postage Table'!A:A, 'Fees &amp; Postage Table'!B:B, 0))</f>
        <v/>
      </c>
      <c r="G681">
        <f>IF(ISBLANK(A681), "", XLOOKUP(C681, 'Fees &amp; Postage Table'!A:A, 'Fees &amp; Postage Table'!D:D, 0))</f>
        <v/>
      </c>
      <c r="H681">
        <f>IF(ISBLANK(A681), "", B681 - E681 - F681 - G681)</f>
        <v/>
      </c>
      <c r="I681">
        <f>IF(ISBLANK(A681), "", D681 - XLOOKUP(A681, Inventory!A:A, Inventory!H:H, TODAY()))</f>
        <v/>
      </c>
    </row>
    <row r="682">
      <c r="E682">
        <f>IF(ISBLANK(A682), "", XLOOKUP(A682, Inventory!A:A, Inventory!E:E, 0))</f>
        <v/>
      </c>
      <c r="F682">
        <f>IF(ISBLANK(A682), "", (B682 * XLOOKUP(C682, 'Fees &amp; Postage Table'!A:A, 'Fees &amp; Postage Table'!C:C, 0)) + XLOOKUP(C682, 'Fees &amp; Postage Table'!A:A, 'Fees &amp; Postage Table'!B:B, 0))</f>
        <v/>
      </c>
      <c r="G682">
        <f>IF(ISBLANK(A682), "", XLOOKUP(C682, 'Fees &amp; Postage Table'!A:A, 'Fees &amp; Postage Table'!D:D, 0))</f>
        <v/>
      </c>
      <c r="H682">
        <f>IF(ISBLANK(A682), "", B682 - E682 - F682 - G682)</f>
        <v/>
      </c>
      <c r="I682">
        <f>IF(ISBLANK(A682), "", D682 - XLOOKUP(A682, Inventory!A:A, Inventory!H:H, TODAY()))</f>
        <v/>
      </c>
    </row>
    <row r="683">
      <c r="E683">
        <f>IF(ISBLANK(A683), "", XLOOKUP(A683, Inventory!A:A, Inventory!E:E, 0))</f>
        <v/>
      </c>
      <c r="F683">
        <f>IF(ISBLANK(A683), "", (B683 * XLOOKUP(C683, 'Fees &amp; Postage Table'!A:A, 'Fees &amp; Postage Table'!C:C, 0)) + XLOOKUP(C683, 'Fees &amp; Postage Table'!A:A, 'Fees &amp; Postage Table'!B:B, 0))</f>
        <v/>
      </c>
      <c r="G683">
        <f>IF(ISBLANK(A683), "", XLOOKUP(C683, 'Fees &amp; Postage Table'!A:A, 'Fees &amp; Postage Table'!D:D, 0))</f>
        <v/>
      </c>
      <c r="H683">
        <f>IF(ISBLANK(A683), "", B683 - E683 - F683 - G683)</f>
        <v/>
      </c>
      <c r="I683">
        <f>IF(ISBLANK(A683), "", D683 - XLOOKUP(A683, Inventory!A:A, Inventory!H:H, TODAY()))</f>
        <v/>
      </c>
    </row>
    <row r="684">
      <c r="E684">
        <f>IF(ISBLANK(A684), "", XLOOKUP(A684, Inventory!A:A, Inventory!E:E, 0))</f>
        <v/>
      </c>
      <c r="F684">
        <f>IF(ISBLANK(A684), "", (B684 * XLOOKUP(C684, 'Fees &amp; Postage Table'!A:A, 'Fees &amp; Postage Table'!C:C, 0)) + XLOOKUP(C684, 'Fees &amp; Postage Table'!A:A, 'Fees &amp; Postage Table'!B:B, 0))</f>
        <v/>
      </c>
      <c r="G684">
        <f>IF(ISBLANK(A684), "", XLOOKUP(C684, 'Fees &amp; Postage Table'!A:A, 'Fees &amp; Postage Table'!D:D, 0))</f>
        <v/>
      </c>
      <c r="H684">
        <f>IF(ISBLANK(A684), "", B684 - E684 - F684 - G684)</f>
        <v/>
      </c>
      <c r="I684">
        <f>IF(ISBLANK(A684), "", D684 - XLOOKUP(A684, Inventory!A:A, Inventory!H:H, TODAY()))</f>
        <v/>
      </c>
    </row>
    <row r="685">
      <c r="E685">
        <f>IF(ISBLANK(A685), "", XLOOKUP(A685, Inventory!A:A, Inventory!E:E, 0))</f>
        <v/>
      </c>
      <c r="F685">
        <f>IF(ISBLANK(A685), "", (B685 * XLOOKUP(C685, 'Fees &amp; Postage Table'!A:A, 'Fees &amp; Postage Table'!C:C, 0)) + XLOOKUP(C685, 'Fees &amp; Postage Table'!A:A, 'Fees &amp; Postage Table'!B:B, 0))</f>
        <v/>
      </c>
      <c r="G685">
        <f>IF(ISBLANK(A685), "", XLOOKUP(C685, 'Fees &amp; Postage Table'!A:A, 'Fees &amp; Postage Table'!D:D, 0))</f>
        <v/>
      </c>
      <c r="H685">
        <f>IF(ISBLANK(A685), "", B685 - E685 - F685 - G685)</f>
        <v/>
      </c>
      <c r="I685">
        <f>IF(ISBLANK(A685), "", D685 - XLOOKUP(A685, Inventory!A:A, Inventory!H:H, TODAY()))</f>
        <v/>
      </c>
    </row>
    <row r="686">
      <c r="E686">
        <f>IF(ISBLANK(A686), "", XLOOKUP(A686, Inventory!A:A, Inventory!E:E, 0))</f>
        <v/>
      </c>
      <c r="F686">
        <f>IF(ISBLANK(A686), "", (B686 * XLOOKUP(C686, 'Fees &amp; Postage Table'!A:A, 'Fees &amp; Postage Table'!C:C, 0)) + XLOOKUP(C686, 'Fees &amp; Postage Table'!A:A, 'Fees &amp; Postage Table'!B:B, 0))</f>
        <v/>
      </c>
      <c r="G686">
        <f>IF(ISBLANK(A686), "", XLOOKUP(C686, 'Fees &amp; Postage Table'!A:A, 'Fees &amp; Postage Table'!D:D, 0))</f>
        <v/>
      </c>
      <c r="H686">
        <f>IF(ISBLANK(A686), "", B686 - E686 - F686 - G686)</f>
        <v/>
      </c>
      <c r="I686">
        <f>IF(ISBLANK(A686), "", D686 - XLOOKUP(A686, Inventory!A:A, Inventory!H:H, TODAY()))</f>
        <v/>
      </c>
    </row>
    <row r="687">
      <c r="E687">
        <f>IF(ISBLANK(A687), "", XLOOKUP(A687, Inventory!A:A, Inventory!E:E, 0))</f>
        <v/>
      </c>
      <c r="F687">
        <f>IF(ISBLANK(A687), "", (B687 * XLOOKUP(C687, 'Fees &amp; Postage Table'!A:A, 'Fees &amp; Postage Table'!C:C, 0)) + XLOOKUP(C687, 'Fees &amp; Postage Table'!A:A, 'Fees &amp; Postage Table'!B:B, 0))</f>
        <v/>
      </c>
      <c r="G687">
        <f>IF(ISBLANK(A687), "", XLOOKUP(C687, 'Fees &amp; Postage Table'!A:A, 'Fees &amp; Postage Table'!D:D, 0))</f>
        <v/>
      </c>
      <c r="H687">
        <f>IF(ISBLANK(A687), "", B687 - E687 - F687 - G687)</f>
        <v/>
      </c>
      <c r="I687">
        <f>IF(ISBLANK(A687), "", D687 - XLOOKUP(A687, Inventory!A:A, Inventory!H:H, TODAY()))</f>
        <v/>
      </c>
    </row>
    <row r="688">
      <c r="E688">
        <f>IF(ISBLANK(A688), "", XLOOKUP(A688, Inventory!A:A, Inventory!E:E, 0))</f>
        <v/>
      </c>
      <c r="F688">
        <f>IF(ISBLANK(A688), "", (B688 * XLOOKUP(C688, 'Fees &amp; Postage Table'!A:A, 'Fees &amp; Postage Table'!C:C, 0)) + XLOOKUP(C688, 'Fees &amp; Postage Table'!A:A, 'Fees &amp; Postage Table'!B:B, 0))</f>
        <v/>
      </c>
      <c r="G688">
        <f>IF(ISBLANK(A688), "", XLOOKUP(C688, 'Fees &amp; Postage Table'!A:A, 'Fees &amp; Postage Table'!D:D, 0))</f>
        <v/>
      </c>
      <c r="H688">
        <f>IF(ISBLANK(A688), "", B688 - E688 - F688 - G688)</f>
        <v/>
      </c>
      <c r="I688">
        <f>IF(ISBLANK(A688), "", D688 - XLOOKUP(A688, Inventory!A:A, Inventory!H:H, TODAY()))</f>
        <v/>
      </c>
    </row>
    <row r="689">
      <c r="E689">
        <f>IF(ISBLANK(A689), "", XLOOKUP(A689, Inventory!A:A, Inventory!E:E, 0))</f>
        <v/>
      </c>
      <c r="F689">
        <f>IF(ISBLANK(A689), "", (B689 * XLOOKUP(C689, 'Fees &amp; Postage Table'!A:A, 'Fees &amp; Postage Table'!C:C, 0)) + XLOOKUP(C689, 'Fees &amp; Postage Table'!A:A, 'Fees &amp; Postage Table'!B:B, 0))</f>
        <v/>
      </c>
      <c r="G689">
        <f>IF(ISBLANK(A689), "", XLOOKUP(C689, 'Fees &amp; Postage Table'!A:A, 'Fees &amp; Postage Table'!D:D, 0))</f>
        <v/>
      </c>
      <c r="H689">
        <f>IF(ISBLANK(A689), "", B689 - E689 - F689 - G689)</f>
        <v/>
      </c>
      <c r="I689">
        <f>IF(ISBLANK(A689), "", D689 - XLOOKUP(A689, Inventory!A:A, Inventory!H:H, TODAY()))</f>
        <v/>
      </c>
    </row>
    <row r="690">
      <c r="E690">
        <f>IF(ISBLANK(A690), "", XLOOKUP(A690, Inventory!A:A, Inventory!E:E, 0))</f>
        <v/>
      </c>
      <c r="F690">
        <f>IF(ISBLANK(A690), "", (B690 * XLOOKUP(C690, 'Fees &amp; Postage Table'!A:A, 'Fees &amp; Postage Table'!C:C, 0)) + XLOOKUP(C690, 'Fees &amp; Postage Table'!A:A, 'Fees &amp; Postage Table'!B:B, 0))</f>
        <v/>
      </c>
      <c r="G690">
        <f>IF(ISBLANK(A690), "", XLOOKUP(C690, 'Fees &amp; Postage Table'!A:A, 'Fees &amp; Postage Table'!D:D, 0))</f>
        <v/>
      </c>
      <c r="H690">
        <f>IF(ISBLANK(A690), "", B690 - E690 - F690 - G690)</f>
        <v/>
      </c>
      <c r="I690">
        <f>IF(ISBLANK(A690), "", D690 - XLOOKUP(A690, Inventory!A:A, Inventory!H:H, TODAY()))</f>
        <v/>
      </c>
    </row>
    <row r="691">
      <c r="E691">
        <f>IF(ISBLANK(A691), "", XLOOKUP(A691, Inventory!A:A, Inventory!E:E, 0))</f>
        <v/>
      </c>
      <c r="F691">
        <f>IF(ISBLANK(A691), "", (B691 * XLOOKUP(C691, 'Fees &amp; Postage Table'!A:A, 'Fees &amp; Postage Table'!C:C, 0)) + XLOOKUP(C691, 'Fees &amp; Postage Table'!A:A, 'Fees &amp; Postage Table'!B:B, 0))</f>
        <v/>
      </c>
      <c r="G691">
        <f>IF(ISBLANK(A691), "", XLOOKUP(C691, 'Fees &amp; Postage Table'!A:A, 'Fees &amp; Postage Table'!D:D, 0))</f>
        <v/>
      </c>
      <c r="H691">
        <f>IF(ISBLANK(A691), "", B691 - E691 - F691 - G691)</f>
        <v/>
      </c>
      <c r="I691">
        <f>IF(ISBLANK(A691), "", D691 - XLOOKUP(A691, Inventory!A:A, Inventory!H:H, TODAY()))</f>
        <v/>
      </c>
    </row>
    <row r="692">
      <c r="E692">
        <f>IF(ISBLANK(A692), "", XLOOKUP(A692, Inventory!A:A, Inventory!E:E, 0))</f>
        <v/>
      </c>
      <c r="F692">
        <f>IF(ISBLANK(A692), "", (B692 * XLOOKUP(C692, 'Fees &amp; Postage Table'!A:A, 'Fees &amp; Postage Table'!C:C, 0)) + XLOOKUP(C692, 'Fees &amp; Postage Table'!A:A, 'Fees &amp; Postage Table'!B:B, 0))</f>
        <v/>
      </c>
      <c r="G692">
        <f>IF(ISBLANK(A692), "", XLOOKUP(C692, 'Fees &amp; Postage Table'!A:A, 'Fees &amp; Postage Table'!D:D, 0))</f>
        <v/>
      </c>
      <c r="H692">
        <f>IF(ISBLANK(A692), "", B692 - E692 - F692 - G692)</f>
        <v/>
      </c>
      <c r="I692">
        <f>IF(ISBLANK(A692), "", D692 - XLOOKUP(A692, Inventory!A:A, Inventory!H:H, TODAY()))</f>
        <v/>
      </c>
    </row>
    <row r="693">
      <c r="E693">
        <f>IF(ISBLANK(A693), "", XLOOKUP(A693, Inventory!A:A, Inventory!E:E, 0))</f>
        <v/>
      </c>
      <c r="F693">
        <f>IF(ISBLANK(A693), "", (B693 * XLOOKUP(C693, 'Fees &amp; Postage Table'!A:A, 'Fees &amp; Postage Table'!C:C, 0)) + XLOOKUP(C693, 'Fees &amp; Postage Table'!A:A, 'Fees &amp; Postage Table'!B:B, 0))</f>
        <v/>
      </c>
      <c r="G693">
        <f>IF(ISBLANK(A693), "", XLOOKUP(C693, 'Fees &amp; Postage Table'!A:A, 'Fees &amp; Postage Table'!D:D, 0))</f>
        <v/>
      </c>
      <c r="H693">
        <f>IF(ISBLANK(A693), "", B693 - E693 - F693 - G693)</f>
        <v/>
      </c>
      <c r="I693">
        <f>IF(ISBLANK(A693), "", D693 - XLOOKUP(A693, Inventory!A:A, Inventory!H:H, TODAY()))</f>
        <v/>
      </c>
    </row>
    <row r="694">
      <c r="E694">
        <f>IF(ISBLANK(A694), "", XLOOKUP(A694, Inventory!A:A, Inventory!E:E, 0))</f>
        <v/>
      </c>
      <c r="F694">
        <f>IF(ISBLANK(A694), "", (B694 * XLOOKUP(C694, 'Fees &amp; Postage Table'!A:A, 'Fees &amp; Postage Table'!C:C, 0)) + XLOOKUP(C694, 'Fees &amp; Postage Table'!A:A, 'Fees &amp; Postage Table'!B:B, 0))</f>
        <v/>
      </c>
      <c r="G694">
        <f>IF(ISBLANK(A694), "", XLOOKUP(C694, 'Fees &amp; Postage Table'!A:A, 'Fees &amp; Postage Table'!D:D, 0))</f>
        <v/>
      </c>
      <c r="H694">
        <f>IF(ISBLANK(A694), "", B694 - E694 - F694 - G694)</f>
        <v/>
      </c>
      <c r="I694">
        <f>IF(ISBLANK(A694), "", D694 - XLOOKUP(A694, Inventory!A:A, Inventory!H:H, TODAY()))</f>
        <v/>
      </c>
    </row>
    <row r="695">
      <c r="E695">
        <f>IF(ISBLANK(A695), "", XLOOKUP(A695, Inventory!A:A, Inventory!E:E, 0))</f>
        <v/>
      </c>
      <c r="F695">
        <f>IF(ISBLANK(A695), "", (B695 * XLOOKUP(C695, 'Fees &amp; Postage Table'!A:A, 'Fees &amp; Postage Table'!C:C, 0)) + XLOOKUP(C695, 'Fees &amp; Postage Table'!A:A, 'Fees &amp; Postage Table'!B:B, 0))</f>
        <v/>
      </c>
      <c r="G695">
        <f>IF(ISBLANK(A695), "", XLOOKUP(C695, 'Fees &amp; Postage Table'!A:A, 'Fees &amp; Postage Table'!D:D, 0))</f>
        <v/>
      </c>
      <c r="H695">
        <f>IF(ISBLANK(A695), "", B695 - E695 - F695 - G695)</f>
        <v/>
      </c>
      <c r="I695">
        <f>IF(ISBLANK(A695), "", D695 - XLOOKUP(A695, Inventory!A:A, Inventory!H:H, TODAY()))</f>
        <v/>
      </c>
    </row>
    <row r="696">
      <c r="E696">
        <f>IF(ISBLANK(A696), "", XLOOKUP(A696, Inventory!A:A, Inventory!E:E, 0))</f>
        <v/>
      </c>
      <c r="F696">
        <f>IF(ISBLANK(A696), "", (B696 * XLOOKUP(C696, 'Fees &amp; Postage Table'!A:A, 'Fees &amp; Postage Table'!C:C, 0)) + XLOOKUP(C696, 'Fees &amp; Postage Table'!A:A, 'Fees &amp; Postage Table'!B:B, 0))</f>
        <v/>
      </c>
      <c r="G696">
        <f>IF(ISBLANK(A696), "", XLOOKUP(C696, 'Fees &amp; Postage Table'!A:A, 'Fees &amp; Postage Table'!D:D, 0))</f>
        <v/>
      </c>
      <c r="H696">
        <f>IF(ISBLANK(A696), "", B696 - E696 - F696 - G696)</f>
        <v/>
      </c>
      <c r="I696">
        <f>IF(ISBLANK(A696), "", D696 - XLOOKUP(A696, Inventory!A:A, Inventory!H:H, TODAY()))</f>
        <v/>
      </c>
    </row>
    <row r="697">
      <c r="E697">
        <f>IF(ISBLANK(A697), "", XLOOKUP(A697, Inventory!A:A, Inventory!E:E, 0))</f>
        <v/>
      </c>
      <c r="F697">
        <f>IF(ISBLANK(A697), "", (B697 * XLOOKUP(C697, 'Fees &amp; Postage Table'!A:A, 'Fees &amp; Postage Table'!C:C, 0)) + XLOOKUP(C697, 'Fees &amp; Postage Table'!A:A, 'Fees &amp; Postage Table'!B:B, 0))</f>
        <v/>
      </c>
      <c r="G697">
        <f>IF(ISBLANK(A697), "", XLOOKUP(C697, 'Fees &amp; Postage Table'!A:A, 'Fees &amp; Postage Table'!D:D, 0))</f>
        <v/>
      </c>
      <c r="H697">
        <f>IF(ISBLANK(A697), "", B697 - E697 - F697 - G697)</f>
        <v/>
      </c>
      <c r="I697">
        <f>IF(ISBLANK(A697), "", D697 - XLOOKUP(A697, Inventory!A:A, Inventory!H:H, TODAY()))</f>
        <v/>
      </c>
    </row>
    <row r="698">
      <c r="E698">
        <f>IF(ISBLANK(A698), "", XLOOKUP(A698, Inventory!A:A, Inventory!E:E, 0))</f>
        <v/>
      </c>
      <c r="F698">
        <f>IF(ISBLANK(A698), "", (B698 * XLOOKUP(C698, 'Fees &amp; Postage Table'!A:A, 'Fees &amp; Postage Table'!C:C, 0)) + XLOOKUP(C698, 'Fees &amp; Postage Table'!A:A, 'Fees &amp; Postage Table'!B:B, 0))</f>
        <v/>
      </c>
      <c r="G698">
        <f>IF(ISBLANK(A698), "", XLOOKUP(C698, 'Fees &amp; Postage Table'!A:A, 'Fees &amp; Postage Table'!D:D, 0))</f>
        <v/>
      </c>
      <c r="H698">
        <f>IF(ISBLANK(A698), "", B698 - E698 - F698 - G698)</f>
        <v/>
      </c>
      <c r="I698">
        <f>IF(ISBLANK(A698), "", D698 - XLOOKUP(A698, Inventory!A:A, Inventory!H:H, TODAY()))</f>
        <v/>
      </c>
    </row>
    <row r="699">
      <c r="E699">
        <f>IF(ISBLANK(A699), "", XLOOKUP(A699, Inventory!A:A, Inventory!E:E, 0))</f>
        <v/>
      </c>
      <c r="F699">
        <f>IF(ISBLANK(A699), "", (B699 * XLOOKUP(C699, 'Fees &amp; Postage Table'!A:A, 'Fees &amp; Postage Table'!C:C, 0)) + XLOOKUP(C699, 'Fees &amp; Postage Table'!A:A, 'Fees &amp; Postage Table'!B:B, 0))</f>
        <v/>
      </c>
      <c r="G699">
        <f>IF(ISBLANK(A699), "", XLOOKUP(C699, 'Fees &amp; Postage Table'!A:A, 'Fees &amp; Postage Table'!D:D, 0))</f>
        <v/>
      </c>
      <c r="H699">
        <f>IF(ISBLANK(A699), "", B699 - E699 - F699 - G699)</f>
        <v/>
      </c>
      <c r="I699">
        <f>IF(ISBLANK(A699), "", D699 - XLOOKUP(A699, Inventory!A:A, Inventory!H:H, TODAY()))</f>
        <v/>
      </c>
    </row>
    <row r="700">
      <c r="E700">
        <f>IF(ISBLANK(A700), "", XLOOKUP(A700, Inventory!A:A, Inventory!E:E, 0))</f>
        <v/>
      </c>
      <c r="F700">
        <f>IF(ISBLANK(A700), "", (B700 * XLOOKUP(C700, 'Fees &amp; Postage Table'!A:A, 'Fees &amp; Postage Table'!C:C, 0)) + XLOOKUP(C700, 'Fees &amp; Postage Table'!A:A, 'Fees &amp; Postage Table'!B:B, 0))</f>
        <v/>
      </c>
      <c r="G700">
        <f>IF(ISBLANK(A700), "", XLOOKUP(C700, 'Fees &amp; Postage Table'!A:A, 'Fees &amp; Postage Table'!D:D, 0))</f>
        <v/>
      </c>
      <c r="H700">
        <f>IF(ISBLANK(A700), "", B700 - E700 - F700 - G700)</f>
        <v/>
      </c>
      <c r="I700">
        <f>IF(ISBLANK(A700), "", D700 - XLOOKUP(A700, Inventory!A:A, Inventory!H:H, TODAY()))</f>
        <v/>
      </c>
    </row>
    <row r="701">
      <c r="E701">
        <f>IF(ISBLANK(A701), "", XLOOKUP(A701, Inventory!A:A, Inventory!E:E, 0))</f>
        <v/>
      </c>
      <c r="F701">
        <f>IF(ISBLANK(A701), "", (B701 * XLOOKUP(C701, 'Fees &amp; Postage Table'!A:A, 'Fees &amp; Postage Table'!C:C, 0)) + XLOOKUP(C701, 'Fees &amp; Postage Table'!A:A, 'Fees &amp; Postage Table'!B:B, 0))</f>
        <v/>
      </c>
      <c r="G701">
        <f>IF(ISBLANK(A701), "", XLOOKUP(C701, 'Fees &amp; Postage Table'!A:A, 'Fees &amp; Postage Table'!D:D, 0))</f>
        <v/>
      </c>
      <c r="H701">
        <f>IF(ISBLANK(A701), "", B701 - E701 - F701 - G701)</f>
        <v/>
      </c>
      <c r="I701">
        <f>IF(ISBLANK(A701), "", D701 - XLOOKUP(A701, Inventory!A:A, Inventory!H:H, TODAY()))</f>
        <v/>
      </c>
    </row>
    <row r="702">
      <c r="E702">
        <f>IF(ISBLANK(A702), "", XLOOKUP(A702, Inventory!A:A, Inventory!E:E, 0))</f>
        <v/>
      </c>
      <c r="F702">
        <f>IF(ISBLANK(A702), "", (B702 * XLOOKUP(C702, 'Fees &amp; Postage Table'!A:A, 'Fees &amp; Postage Table'!C:C, 0)) + XLOOKUP(C702, 'Fees &amp; Postage Table'!A:A, 'Fees &amp; Postage Table'!B:B, 0))</f>
        <v/>
      </c>
      <c r="G702">
        <f>IF(ISBLANK(A702), "", XLOOKUP(C702, 'Fees &amp; Postage Table'!A:A, 'Fees &amp; Postage Table'!D:D, 0))</f>
        <v/>
      </c>
      <c r="H702">
        <f>IF(ISBLANK(A702), "", B702 - E702 - F702 - G702)</f>
        <v/>
      </c>
      <c r="I702">
        <f>IF(ISBLANK(A702), "", D702 - XLOOKUP(A702, Inventory!A:A, Inventory!H:H, TODAY()))</f>
        <v/>
      </c>
    </row>
    <row r="703">
      <c r="E703">
        <f>IF(ISBLANK(A703), "", XLOOKUP(A703, Inventory!A:A, Inventory!E:E, 0))</f>
        <v/>
      </c>
      <c r="F703">
        <f>IF(ISBLANK(A703), "", (B703 * XLOOKUP(C703, 'Fees &amp; Postage Table'!A:A, 'Fees &amp; Postage Table'!C:C, 0)) + XLOOKUP(C703, 'Fees &amp; Postage Table'!A:A, 'Fees &amp; Postage Table'!B:B, 0))</f>
        <v/>
      </c>
      <c r="G703">
        <f>IF(ISBLANK(A703), "", XLOOKUP(C703, 'Fees &amp; Postage Table'!A:A, 'Fees &amp; Postage Table'!D:D, 0))</f>
        <v/>
      </c>
      <c r="H703">
        <f>IF(ISBLANK(A703), "", B703 - E703 - F703 - G703)</f>
        <v/>
      </c>
      <c r="I703">
        <f>IF(ISBLANK(A703), "", D703 - XLOOKUP(A703, Inventory!A:A, Inventory!H:H, TODAY()))</f>
        <v/>
      </c>
    </row>
    <row r="704">
      <c r="E704">
        <f>IF(ISBLANK(A704), "", XLOOKUP(A704, Inventory!A:A, Inventory!E:E, 0))</f>
        <v/>
      </c>
      <c r="F704">
        <f>IF(ISBLANK(A704), "", (B704 * XLOOKUP(C704, 'Fees &amp; Postage Table'!A:A, 'Fees &amp; Postage Table'!C:C, 0)) + XLOOKUP(C704, 'Fees &amp; Postage Table'!A:A, 'Fees &amp; Postage Table'!B:B, 0))</f>
        <v/>
      </c>
      <c r="G704">
        <f>IF(ISBLANK(A704), "", XLOOKUP(C704, 'Fees &amp; Postage Table'!A:A, 'Fees &amp; Postage Table'!D:D, 0))</f>
        <v/>
      </c>
      <c r="H704">
        <f>IF(ISBLANK(A704), "", B704 - E704 - F704 - G704)</f>
        <v/>
      </c>
      <c r="I704">
        <f>IF(ISBLANK(A704), "", D704 - XLOOKUP(A704, Inventory!A:A, Inventory!H:H, TODAY()))</f>
        <v/>
      </c>
    </row>
    <row r="705">
      <c r="E705">
        <f>IF(ISBLANK(A705), "", XLOOKUP(A705, Inventory!A:A, Inventory!E:E, 0))</f>
        <v/>
      </c>
      <c r="F705">
        <f>IF(ISBLANK(A705), "", (B705 * XLOOKUP(C705, 'Fees &amp; Postage Table'!A:A, 'Fees &amp; Postage Table'!C:C, 0)) + XLOOKUP(C705, 'Fees &amp; Postage Table'!A:A, 'Fees &amp; Postage Table'!B:B, 0))</f>
        <v/>
      </c>
      <c r="G705">
        <f>IF(ISBLANK(A705), "", XLOOKUP(C705, 'Fees &amp; Postage Table'!A:A, 'Fees &amp; Postage Table'!D:D, 0))</f>
        <v/>
      </c>
      <c r="H705">
        <f>IF(ISBLANK(A705), "", B705 - E705 - F705 - G705)</f>
        <v/>
      </c>
      <c r="I705">
        <f>IF(ISBLANK(A705), "", D705 - XLOOKUP(A705, Inventory!A:A, Inventory!H:H, TODAY()))</f>
        <v/>
      </c>
    </row>
    <row r="706">
      <c r="E706">
        <f>IF(ISBLANK(A706), "", XLOOKUP(A706, Inventory!A:A, Inventory!E:E, 0))</f>
        <v/>
      </c>
      <c r="F706">
        <f>IF(ISBLANK(A706), "", (B706 * XLOOKUP(C706, 'Fees &amp; Postage Table'!A:A, 'Fees &amp; Postage Table'!C:C, 0)) + XLOOKUP(C706, 'Fees &amp; Postage Table'!A:A, 'Fees &amp; Postage Table'!B:B, 0))</f>
        <v/>
      </c>
      <c r="G706">
        <f>IF(ISBLANK(A706), "", XLOOKUP(C706, 'Fees &amp; Postage Table'!A:A, 'Fees &amp; Postage Table'!D:D, 0))</f>
        <v/>
      </c>
      <c r="H706">
        <f>IF(ISBLANK(A706), "", B706 - E706 - F706 - G706)</f>
        <v/>
      </c>
      <c r="I706">
        <f>IF(ISBLANK(A706), "", D706 - XLOOKUP(A706, Inventory!A:A, Inventory!H:H, TODAY()))</f>
        <v/>
      </c>
    </row>
    <row r="707">
      <c r="E707">
        <f>IF(ISBLANK(A707), "", XLOOKUP(A707, Inventory!A:A, Inventory!E:E, 0))</f>
        <v/>
      </c>
      <c r="F707">
        <f>IF(ISBLANK(A707), "", (B707 * XLOOKUP(C707, 'Fees &amp; Postage Table'!A:A, 'Fees &amp; Postage Table'!C:C, 0)) + XLOOKUP(C707, 'Fees &amp; Postage Table'!A:A, 'Fees &amp; Postage Table'!B:B, 0))</f>
        <v/>
      </c>
      <c r="G707">
        <f>IF(ISBLANK(A707), "", XLOOKUP(C707, 'Fees &amp; Postage Table'!A:A, 'Fees &amp; Postage Table'!D:D, 0))</f>
        <v/>
      </c>
      <c r="H707">
        <f>IF(ISBLANK(A707), "", B707 - E707 - F707 - G707)</f>
        <v/>
      </c>
      <c r="I707">
        <f>IF(ISBLANK(A707), "", D707 - XLOOKUP(A707, Inventory!A:A, Inventory!H:H, TODAY()))</f>
        <v/>
      </c>
    </row>
    <row r="708">
      <c r="E708">
        <f>IF(ISBLANK(A708), "", XLOOKUP(A708, Inventory!A:A, Inventory!E:E, 0))</f>
        <v/>
      </c>
      <c r="F708">
        <f>IF(ISBLANK(A708), "", (B708 * XLOOKUP(C708, 'Fees &amp; Postage Table'!A:A, 'Fees &amp; Postage Table'!C:C, 0)) + XLOOKUP(C708, 'Fees &amp; Postage Table'!A:A, 'Fees &amp; Postage Table'!B:B, 0))</f>
        <v/>
      </c>
      <c r="G708">
        <f>IF(ISBLANK(A708), "", XLOOKUP(C708, 'Fees &amp; Postage Table'!A:A, 'Fees &amp; Postage Table'!D:D, 0))</f>
        <v/>
      </c>
      <c r="H708">
        <f>IF(ISBLANK(A708), "", B708 - E708 - F708 - G708)</f>
        <v/>
      </c>
      <c r="I708">
        <f>IF(ISBLANK(A708), "", D708 - XLOOKUP(A708, Inventory!A:A, Inventory!H:H, TODAY()))</f>
        <v/>
      </c>
    </row>
    <row r="709">
      <c r="E709">
        <f>IF(ISBLANK(A709), "", XLOOKUP(A709, Inventory!A:A, Inventory!E:E, 0))</f>
        <v/>
      </c>
      <c r="F709">
        <f>IF(ISBLANK(A709), "", (B709 * XLOOKUP(C709, 'Fees &amp; Postage Table'!A:A, 'Fees &amp; Postage Table'!C:C, 0)) + XLOOKUP(C709, 'Fees &amp; Postage Table'!A:A, 'Fees &amp; Postage Table'!B:B, 0))</f>
        <v/>
      </c>
      <c r="G709">
        <f>IF(ISBLANK(A709), "", XLOOKUP(C709, 'Fees &amp; Postage Table'!A:A, 'Fees &amp; Postage Table'!D:D, 0))</f>
        <v/>
      </c>
      <c r="H709">
        <f>IF(ISBLANK(A709), "", B709 - E709 - F709 - G709)</f>
        <v/>
      </c>
      <c r="I709">
        <f>IF(ISBLANK(A709), "", D709 - XLOOKUP(A709, Inventory!A:A, Inventory!H:H, TODAY()))</f>
        <v/>
      </c>
    </row>
    <row r="710">
      <c r="E710">
        <f>IF(ISBLANK(A710), "", XLOOKUP(A710, Inventory!A:A, Inventory!E:E, 0))</f>
        <v/>
      </c>
      <c r="F710">
        <f>IF(ISBLANK(A710), "", (B710 * XLOOKUP(C710, 'Fees &amp; Postage Table'!A:A, 'Fees &amp; Postage Table'!C:C, 0)) + XLOOKUP(C710, 'Fees &amp; Postage Table'!A:A, 'Fees &amp; Postage Table'!B:B, 0))</f>
        <v/>
      </c>
      <c r="G710">
        <f>IF(ISBLANK(A710), "", XLOOKUP(C710, 'Fees &amp; Postage Table'!A:A, 'Fees &amp; Postage Table'!D:D, 0))</f>
        <v/>
      </c>
      <c r="H710">
        <f>IF(ISBLANK(A710), "", B710 - E710 - F710 - G710)</f>
        <v/>
      </c>
      <c r="I710">
        <f>IF(ISBLANK(A710), "", D710 - XLOOKUP(A710, Inventory!A:A, Inventory!H:H, TODAY()))</f>
        <v/>
      </c>
    </row>
    <row r="711">
      <c r="E711">
        <f>IF(ISBLANK(A711), "", XLOOKUP(A711, Inventory!A:A, Inventory!E:E, 0))</f>
        <v/>
      </c>
      <c r="F711">
        <f>IF(ISBLANK(A711), "", (B711 * XLOOKUP(C711, 'Fees &amp; Postage Table'!A:A, 'Fees &amp; Postage Table'!C:C, 0)) + XLOOKUP(C711, 'Fees &amp; Postage Table'!A:A, 'Fees &amp; Postage Table'!B:B, 0))</f>
        <v/>
      </c>
      <c r="G711">
        <f>IF(ISBLANK(A711), "", XLOOKUP(C711, 'Fees &amp; Postage Table'!A:A, 'Fees &amp; Postage Table'!D:D, 0))</f>
        <v/>
      </c>
      <c r="H711">
        <f>IF(ISBLANK(A711), "", B711 - E711 - F711 - G711)</f>
        <v/>
      </c>
      <c r="I711">
        <f>IF(ISBLANK(A711), "", D711 - XLOOKUP(A711, Inventory!A:A, Inventory!H:H, TODAY()))</f>
        <v/>
      </c>
    </row>
    <row r="712">
      <c r="E712">
        <f>IF(ISBLANK(A712), "", XLOOKUP(A712, Inventory!A:A, Inventory!E:E, 0))</f>
        <v/>
      </c>
      <c r="F712">
        <f>IF(ISBLANK(A712), "", (B712 * XLOOKUP(C712, 'Fees &amp; Postage Table'!A:A, 'Fees &amp; Postage Table'!C:C, 0)) + XLOOKUP(C712, 'Fees &amp; Postage Table'!A:A, 'Fees &amp; Postage Table'!B:B, 0))</f>
        <v/>
      </c>
      <c r="G712">
        <f>IF(ISBLANK(A712), "", XLOOKUP(C712, 'Fees &amp; Postage Table'!A:A, 'Fees &amp; Postage Table'!D:D, 0))</f>
        <v/>
      </c>
      <c r="H712">
        <f>IF(ISBLANK(A712), "", B712 - E712 - F712 - G712)</f>
        <v/>
      </c>
      <c r="I712">
        <f>IF(ISBLANK(A712), "", D712 - XLOOKUP(A712, Inventory!A:A, Inventory!H:H, TODAY()))</f>
        <v/>
      </c>
    </row>
    <row r="713">
      <c r="E713">
        <f>IF(ISBLANK(A713), "", XLOOKUP(A713, Inventory!A:A, Inventory!E:E, 0))</f>
        <v/>
      </c>
      <c r="F713">
        <f>IF(ISBLANK(A713), "", (B713 * XLOOKUP(C713, 'Fees &amp; Postage Table'!A:A, 'Fees &amp; Postage Table'!C:C, 0)) + XLOOKUP(C713, 'Fees &amp; Postage Table'!A:A, 'Fees &amp; Postage Table'!B:B, 0))</f>
        <v/>
      </c>
      <c r="G713">
        <f>IF(ISBLANK(A713), "", XLOOKUP(C713, 'Fees &amp; Postage Table'!A:A, 'Fees &amp; Postage Table'!D:D, 0))</f>
        <v/>
      </c>
      <c r="H713">
        <f>IF(ISBLANK(A713), "", B713 - E713 - F713 - G713)</f>
        <v/>
      </c>
      <c r="I713">
        <f>IF(ISBLANK(A713), "", D713 - XLOOKUP(A713, Inventory!A:A, Inventory!H:H, TODAY()))</f>
        <v/>
      </c>
    </row>
    <row r="714">
      <c r="E714">
        <f>IF(ISBLANK(A714), "", XLOOKUP(A714, Inventory!A:A, Inventory!E:E, 0))</f>
        <v/>
      </c>
      <c r="F714">
        <f>IF(ISBLANK(A714), "", (B714 * XLOOKUP(C714, 'Fees &amp; Postage Table'!A:A, 'Fees &amp; Postage Table'!C:C, 0)) + XLOOKUP(C714, 'Fees &amp; Postage Table'!A:A, 'Fees &amp; Postage Table'!B:B, 0))</f>
        <v/>
      </c>
      <c r="G714">
        <f>IF(ISBLANK(A714), "", XLOOKUP(C714, 'Fees &amp; Postage Table'!A:A, 'Fees &amp; Postage Table'!D:D, 0))</f>
        <v/>
      </c>
      <c r="H714">
        <f>IF(ISBLANK(A714), "", B714 - E714 - F714 - G714)</f>
        <v/>
      </c>
      <c r="I714">
        <f>IF(ISBLANK(A714), "", D714 - XLOOKUP(A714, Inventory!A:A, Inventory!H:H, TODAY()))</f>
        <v/>
      </c>
    </row>
    <row r="715">
      <c r="E715">
        <f>IF(ISBLANK(A715), "", XLOOKUP(A715, Inventory!A:A, Inventory!E:E, 0))</f>
        <v/>
      </c>
      <c r="F715">
        <f>IF(ISBLANK(A715), "", (B715 * XLOOKUP(C715, 'Fees &amp; Postage Table'!A:A, 'Fees &amp; Postage Table'!C:C, 0)) + XLOOKUP(C715, 'Fees &amp; Postage Table'!A:A, 'Fees &amp; Postage Table'!B:B, 0))</f>
        <v/>
      </c>
      <c r="G715">
        <f>IF(ISBLANK(A715), "", XLOOKUP(C715, 'Fees &amp; Postage Table'!A:A, 'Fees &amp; Postage Table'!D:D, 0))</f>
        <v/>
      </c>
      <c r="H715">
        <f>IF(ISBLANK(A715), "", B715 - E715 - F715 - G715)</f>
        <v/>
      </c>
      <c r="I715">
        <f>IF(ISBLANK(A715), "", D715 - XLOOKUP(A715, Inventory!A:A, Inventory!H:H, TODAY()))</f>
        <v/>
      </c>
    </row>
    <row r="716">
      <c r="E716">
        <f>IF(ISBLANK(A716), "", XLOOKUP(A716, Inventory!A:A, Inventory!E:E, 0))</f>
        <v/>
      </c>
      <c r="F716">
        <f>IF(ISBLANK(A716), "", (B716 * XLOOKUP(C716, 'Fees &amp; Postage Table'!A:A, 'Fees &amp; Postage Table'!C:C, 0)) + XLOOKUP(C716, 'Fees &amp; Postage Table'!A:A, 'Fees &amp; Postage Table'!B:B, 0))</f>
        <v/>
      </c>
      <c r="G716">
        <f>IF(ISBLANK(A716), "", XLOOKUP(C716, 'Fees &amp; Postage Table'!A:A, 'Fees &amp; Postage Table'!D:D, 0))</f>
        <v/>
      </c>
      <c r="H716">
        <f>IF(ISBLANK(A716), "", B716 - E716 - F716 - G716)</f>
        <v/>
      </c>
      <c r="I716">
        <f>IF(ISBLANK(A716), "", D716 - XLOOKUP(A716, Inventory!A:A, Inventory!H:H, TODAY()))</f>
        <v/>
      </c>
    </row>
    <row r="717">
      <c r="E717">
        <f>IF(ISBLANK(A717), "", XLOOKUP(A717, Inventory!A:A, Inventory!E:E, 0))</f>
        <v/>
      </c>
      <c r="F717">
        <f>IF(ISBLANK(A717), "", (B717 * XLOOKUP(C717, 'Fees &amp; Postage Table'!A:A, 'Fees &amp; Postage Table'!C:C, 0)) + XLOOKUP(C717, 'Fees &amp; Postage Table'!A:A, 'Fees &amp; Postage Table'!B:B, 0))</f>
        <v/>
      </c>
      <c r="G717">
        <f>IF(ISBLANK(A717), "", XLOOKUP(C717, 'Fees &amp; Postage Table'!A:A, 'Fees &amp; Postage Table'!D:D, 0))</f>
        <v/>
      </c>
      <c r="H717">
        <f>IF(ISBLANK(A717), "", B717 - E717 - F717 - G717)</f>
        <v/>
      </c>
      <c r="I717">
        <f>IF(ISBLANK(A717), "", D717 - XLOOKUP(A717, Inventory!A:A, Inventory!H:H, TODAY()))</f>
        <v/>
      </c>
    </row>
    <row r="718">
      <c r="E718">
        <f>IF(ISBLANK(A718), "", XLOOKUP(A718, Inventory!A:A, Inventory!E:E, 0))</f>
        <v/>
      </c>
      <c r="F718">
        <f>IF(ISBLANK(A718), "", (B718 * XLOOKUP(C718, 'Fees &amp; Postage Table'!A:A, 'Fees &amp; Postage Table'!C:C, 0)) + XLOOKUP(C718, 'Fees &amp; Postage Table'!A:A, 'Fees &amp; Postage Table'!B:B, 0))</f>
        <v/>
      </c>
      <c r="G718">
        <f>IF(ISBLANK(A718), "", XLOOKUP(C718, 'Fees &amp; Postage Table'!A:A, 'Fees &amp; Postage Table'!D:D, 0))</f>
        <v/>
      </c>
      <c r="H718">
        <f>IF(ISBLANK(A718), "", B718 - E718 - F718 - G718)</f>
        <v/>
      </c>
      <c r="I718">
        <f>IF(ISBLANK(A718), "", D718 - XLOOKUP(A718, Inventory!A:A, Inventory!H:H, TODAY()))</f>
        <v/>
      </c>
    </row>
    <row r="719">
      <c r="E719">
        <f>IF(ISBLANK(A719), "", XLOOKUP(A719, Inventory!A:A, Inventory!E:E, 0))</f>
        <v/>
      </c>
      <c r="F719">
        <f>IF(ISBLANK(A719), "", (B719 * XLOOKUP(C719, 'Fees &amp; Postage Table'!A:A, 'Fees &amp; Postage Table'!C:C, 0)) + XLOOKUP(C719, 'Fees &amp; Postage Table'!A:A, 'Fees &amp; Postage Table'!B:B, 0))</f>
        <v/>
      </c>
      <c r="G719">
        <f>IF(ISBLANK(A719), "", XLOOKUP(C719, 'Fees &amp; Postage Table'!A:A, 'Fees &amp; Postage Table'!D:D, 0))</f>
        <v/>
      </c>
      <c r="H719">
        <f>IF(ISBLANK(A719), "", B719 - E719 - F719 - G719)</f>
        <v/>
      </c>
      <c r="I719">
        <f>IF(ISBLANK(A719), "", D719 - XLOOKUP(A719, Inventory!A:A, Inventory!H:H, TODAY()))</f>
        <v/>
      </c>
    </row>
    <row r="720">
      <c r="E720">
        <f>IF(ISBLANK(A720), "", XLOOKUP(A720, Inventory!A:A, Inventory!E:E, 0))</f>
        <v/>
      </c>
      <c r="F720">
        <f>IF(ISBLANK(A720), "", (B720 * XLOOKUP(C720, 'Fees &amp; Postage Table'!A:A, 'Fees &amp; Postage Table'!C:C, 0)) + XLOOKUP(C720, 'Fees &amp; Postage Table'!A:A, 'Fees &amp; Postage Table'!B:B, 0))</f>
        <v/>
      </c>
      <c r="G720">
        <f>IF(ISBLANK(A720), "", XLOOKUP(C720, 'Fees &amp; Postage Table'!A:A, 'Fees &amp; Postage Table'!D:D, 0))</f>
        <v/>
      </c>
      <c r="H720">
        <f>IF(ISBLANK(A720), "", B720 - E720 - F720 - G720)</f>
        <v/>
      </c>
      <c r="I720">
        <f>IF(ISBLANK(A720), "", D720 - XLOOKUP(A720, Inventory!A:A, Inventory!H:H, TODAY()))</f>
        <v/>
      </c>
    </row>
    <row r="721">
      <c r="E721">
        <f>IF(ISBLANK(A721), "", XLOOKUP(A721, Inventory!A:A, Inventory!E:E, 0))</f>
        <v/>
      </c>
      <c r="F721">
        <f>IF(ISBLANK(A721), "", (B721 * XLOOKUP(C721, 'Fees &amp; Postage Table'!A:A, 'Fees &amp; Postage Table'!C:C, 0)) + XLOOKUP(C721, 'Fees &amp; Postage Table'!A:A, 'Fees &amp; Postage Table'!B:B, 0))</f>
        <v/>
      </c>
      <c r="G721">
        <f>IF(ISBLANK(A721), "", XLOOKUP(C721, 'Fees &amp; Postage Table'!A:A, 'Fees &amp; Postage Table'!D:D, 0))</f>
        <v/>
      </c>
      <c r="H721">
        <f>IF(ISBLANK(A721), "", B721 - E721 - F721 - G721)</f>
        <v/>
      </c>
      <c r="I721">
        <f>IF(ISBLANK(A721), "", D721 - XLOOKUP(A721, Inventory!A:A, Inventory!H:H, TODAY()))</f>
        <v/>
      </c>
    </row>
    <row r="722">
      <c r="E722">
        <f>IF(ISBLANK(A722), "", XLOOKUP(A722, Inventory!A:A, Inventory!E:E, 0))</f>
        <v/>
      </c>
      <c r="F722">
        <f>IF(ISBLANK(A722), "", (B722 * XLOOKUP(C722, 'Fees &amp; Postage Table'!A:A, 'Fees &amp; Postage Table'!C:C, 0)) + XLOOKUP(C722, 'Fees &amp; Postage Table'!A:A, 'Fees &amp; Postage Table'!B:B, 0))</f>
        <v/>
      </c>
      <c r="G722">
        <f>IF(ISBLANK(A722), "", XLOOKUP(C722, 'Fees &amp; Postage Table'!A:A, 'Fees &amp; Postage Table'!D:D, 0))</f>
        <v/>
      </c>
      <c r="H722">
        <f>IF(ISBLANK(A722), "", B722 - E722 - F722 - G722)</f>
        <v/>
      </c>
      <c r="I722">
        <f>IF(ISBLANK(A722), "", D722 - XLOOKUP(A722, Inventory!A:A, Inventory!H:H, TODAY()))</f>
        <v/>
      </c>
    </row>
    <row r="723">
      <c r="E723">
        <f>IF(ISBLANK(A723), "", XLOOKUP(A723, Inventory!A:A, Inventory!E:E, 0))</f>
        <v/>
      </c>
      <c r="F723">
        <f>IF(ISBLANK(A723), "", (B723 * XLOOKUP(C723, 'Fees &amp; Postage Table'!A:A, 'Fees &amp; Postage Table'!C:C, 0)) + XLOOKUP(C723, 'Fees &amp; Postage Table'!A:A, 'Fees &amp; Postage Table'!B:B, 0))</f>
        <v/>
      </c>
      <c r="G723">
        <f>IF(ISBLANK(A723), "", XLOOKUP(C723, 'Fees &amp; Postage Table'!A:A, 'Fees &amp; Postage Table'!D:D, 0))</f>
        <v/>
      </c>
      <c r="H723">
        <f>IF(ISBLANK(A723), "", B723 - E723 - F723 - G723)</f>
        <v/>
      </c>
      <c r="I723">
        <f>IF(ISBLANK(A723), "", D723 - XLOOKUP(A723, Inventory!A:A, Inventory!H:H, TODAY()))</f>
        <v/>
      </c>
    </row>
    <row r="724">
      <c r="E724">
        <f>IF(ISBLANK(A724), "", XLOOKUP(A724, Inventory!A:A, Inventory!E:E, 0))</f>
        <v/>
      </c>
      <c r="F724">
        <f>IF(ISBLANK(A724), "", (B724 * XLOOKUP(C724, 'Fees &amp; Postage Table'!A:A, 'Fees &amp; Postage Table'!C:C, 0)) + XLOOKUP(C724, 'Fees &amp; Postage Table'!A:A, 'Fees &amp; Postage Table'!B:B, 0))</f>
        <v/>
      </c>
      <c r="G724">
        <f>IF(ISBLANK(A724), "", XLOOKUP(C724, 'Fees &amp; Postage Table'!A:A, 'Fees &amp; Postage Table'!D:D, 0))</f>
        <v/>
      </c>
      <c r="H724">
        <f>IF(ISBLANK(A724), "", B724 - E724 - F724 - G724)</f>
        <v/>
      </c>
      <c r="I724">
        <f>IF(ISBLANK(A724), "", D724 - XLOOKUP(A724, Inventory!A:A, Inventory!H:H, TODAY()))</f>
        <v/>
      </c>
    </row>
    <row r="725">
      <c r="E725">
        <f>IF(ISBLANK(A725), "", XLOOKUP(A725, Inventory!A:A, Inventory!E:E, 0))</f>
        <v/>
      </c>
      <c r="F725">
        <f>IF(ISBLANK(A725), "", (B725 * XLOOKUP(C725, 'Fees &amp; Postage Table'!A:A, 'Fees &amp; Postage Table'!C:C, 0)) + XLOOKUP(C725, 'Fees &amp; Postage Table'!A:A, 'Fees &amp; Postage Table'!B:B, 0))</f>
        <v/>
      </c>
      <c r="G725">
        <f>IF(ISBLANK(A725), "", XLOOKUP(C725, 'Fees &amp; Postage Table'!A:A, 'Fees &amp; Postage Table'!D:D, 0))</f>
        <v/>
      </c>
      <c r="H725">
        <f>IF(ISBLANK(A725), "", B725 - E725 - F725 - G725)</f>
        <v/>
      </c>
      <c r="I725">
        <f>IF(ISBLANK(A725), "", D725 - XLOOKUP(A725, Inventory!A:A, Inventory!H:H, TODAY()))</f>
        <v/>
      </c>
    </row>
    <row r="726">
      <c r="E726">
        <f>IF(ISBLANK(A726), "", XLOOKUP(A726, Inventory!A:A, Inventory!E:E, 0))</f>
        <v/>
      </c>
      <c r="F726">
        <f>IF(ISBLANK(A726), "", (B726 * XLOOKUP(C726, 'Fees &amp; Postage Table'!A:A, 'Fees &amp; Postage Table'!C:C, 0)) + XLOOKUP(C726, 'Fees &amp; Postage Table'!A:A, 'Fees &amp; Postage Table'!B:B, 0))</f>
        <v/>
      </c>
      <c r="G726">
        <f>IF(ISBLANK(A726), "", XLOOKUP(C726, 'Fees &amp; Postage Table'!A:A, 'Fees &amp; Postage Table'!D:D, 0))</f>
        <v/>
      </c>
      <c r="H726">
        <f>IF(ISBLANK(A726), "", B726 - E726 - F726 - G726)</f>
        <v/>
      </c>
      <c r="I726">
        <f>IF(ISBLANK(A726), "", D726 - XLOOKUP(A726, Inventory!A:A, Inventory!H:H, TODAY()))</f>
        <v/>
      </c>
    </row>
    <row r="727">
      <c r="E727">
        <f>IF(ISBLANK(A727), "", XLOOKUP(A727, Inventory!A:A, Inventory!E:E, 0))</f>
        <v/>
      </c>
      <c r="F727">
        <f>IF(ISBLANK(A727), "", (B727 * XLOOKUP(C727, 'Fees &amp; Postage Table'!A:A, 'Fees &amp; Postage Table'!C:C, 0)) + XLOOKUP(C727, 'Fees &amp; Postage Table'!A:A, 'Fees &amp; Postage Table'!B:B, 0))</f>
        <v/>
      </c>
      <c r="G727">
        <f>IF(ISBLANK(A727), "", XLOOKUP(C727, 'Fees &amp; Postage Table'!A:A, 'Fees &amp; Postage Table'!D:D, 0))</f>
        <v/>
      </c>
      <c r="H727">
        <f>IF(ISBLANK(A727), "", B727 - E727 - F727 - G727)</f>
        <v/>
      </c>
      <c r="I727">
        <f>IF(ISBLANK(A727), "", D727 - XLOOKUP(A727, Inventory!A:A, Inventory!H:H, TODAY()))</f>
        <v/>
      </c>
    </row>
    <row r="728">
      <c r="E728">
        <f>IF(ISBLANK(A728), "", XLOOKUP(A728, Inventory!A:A, Inventory!E:E, 0))</f>
        <v/>
      </c>
      <c r="F728">
        <f>IF(ISBLANK(A728), "", (B728 * XLOOKUP(C728, 'Fees &amp; Postage Table'!A:A, 'Fees &amp; Postage Table'!C:C, 0)) + XLOOKUP(C728, 'Fees &amp; Postage Table'!A:A, 'Fees &amp; Postage Table'!B:B, 0))</f>
        <v/>
      </c>
      <c r="G728">
        <f>IF(ISBLANK(A728), "", XLOOKUP(C728, 'Fees &amp; Postage Table'!A:A, 'Fees &amp; Postage Table'!D:D, 0))</f>
        <v/>
      </c>
      <c r="H728">
        <f>IF(ISBLANK(A728), "", B728 - E728 - F728 - G728)</f>
        <v/>
      </c>
      <c r="I728">
        <f>IF(ISBLANK(A728), "", D728 - XLOOKUP(A728, Inventory!A:A, Inventory!H:H, TODAY()))</f>
        <v/>
      </c>
    </row>
    <row r="729">
      <c r="E729">
        <f>IF(ISBLANK(A729), "", XLOOKUP(A729, Inventory!A:A, Inventory!E:E, 0))</f>
        <v/>
      </c>
      <c r="F729">
        <f>IF(ISBLANK(A729), "", (B729 * XLOOKUP(C729, 'Fees &amp; Postage Table'!A:A, 'Fees &amp; Postage Table'!C:C, 0)) + XLOOKUP(C729, 'Fees &amp; Postage Table'!A:A, 'Fees &amp; Postage Table'!B:B, 0))</f>
        <v/>
      </c>
      <c r="G729">
        <f>IF(ISBLANK(A729), "", XLOOKUP(C729, 'Fees &amp; Postage Table'!A:A, 'Fees &amp; Postage Table'!D:D, 0))</f>
        <v/>
      </c>
      <c r="H729">
        <f>IF(ISBLANK(A729), "", B729 - E729 - F729 - G729)</f>
        <v/>
      </c>
      <c r="I729">
        <f>IF(ISBLANK(A729), "", D729 - XLOOKUP(A729, Inventory!A:A, Inventory!H:H, TODAY()))</f>
        <v/>
      </c>
    </row>
    <row r="730">
      <c r="E730">
        <f>IF(ISBLANK(A730), "", XLOOKUP(A730, Inventory!A:A, Inventory!E:E, 0))</f>
        <v/>
      </c>
      <c r="F730">
        <f>IF(ISBLANK(A730), "", (B730 * XLOOKUP(C730, 'Fees &amp; Postage Table'!A:A, 'Fees &amp; Postage Table'!C:C, 0)) + XLOOKUP(C730, 'Fees &amp; Postage Table'!A:A, 'Fees &amp; Postage Table'!B:B, 0))</f>
        <v/>
      </c>
      <c r="G730">
        <f>IF(ISBLANK(A730), "", XLOOKUP(C730, 'Fees &amp; Postage Table'!A:A, 'Fees &amp; Postage Table'!D:D, 0))</f>
        <v/>
      </c>
      <c r="H730">
        <f>IF(ISBLANK(A730), "", B730 - E730 - F730 - G730)</f>
        <v/>
      </c>
      <c r="I730">
        <f>IF(ISBLANK(A730), "", D730 - XLOOKUP(A730, Inventory!A:A, Inventory!H:H, TODAY()))</f>
        <v/>
      </c>
    </row>
    <row r="731">
      <c r="E731">
        <f>IF(ISBLANK(A731), "", XLOOKUP(A731, Inventory!A:A, Inventory!E:E, 0))</f>
        <v/>
      </c>
      <c r="F731">
        <f>IF(ISBLANK(A731), "", (B731 * XLOOKUP(C731, 'Fees &amp; Postage Table'!A:A, 'Fees &amp; Postage Table'!C:C, 0)) + XLOOKUP(C731, 'Fees &amp; Postage Table'!A:A, 'Fees &amp; Postage Table'!B:B, 0))</f>
        <v/>
      </c>
      <c r="G731">
        <f>IF(ISBLANK(A731), "", XLOOKUP(C731, 'Fees &amp; Postage Table'!A:A, 'Fees &amp; Postage Table'!D:D, 0))</f>
        <v/>
      </c>
      <c r="H731">
        <f>IF(ISBLANK(A731), "", B731 - E731 - F731 - G731)</f>
        <v/>
      </c>
      <c r="I731">
        <f>IF(ISBLANK(A731), "", D731 - XLOOKUP(A731, Inventory!A:A, Inventory!H:H, TODAY()))</f>
        <v/>
      </c>
    </row>
    <row r="732">
      <c r="E732">
        <f>IF(ISBLANK(A732), "", XLOOKUP(A732, Inventory!A:A, Inventory!E:E, 0))</f>
        <v/>
      </c>
      <c r="F732">
        <f>IF(ISBLANK(A732), "", (B732 * XLOOKUP(C732, 'Fees &amp; Postage Table'!A:A, 'Fees &amp; Postage Table'!C:C, 0)) + XLOOKUP(C732, 'Fees &amp; Postage Table'!A:A, 'Fees &amp; Postage Table'!B:B, 0))</f>
        <v/>
      </c>
      <c r="G732">
        <f>IF(ISBLANK(A732), "", XLOOKUP(C732, 'Fees &amp; Postage Table'!A:A, 'Fees &amp; Postage Table'!D:D, 0))</f>
        <v/>
      </c>
      <c r="H732">
        <f>IF(ISBLANK(A732), "", B732 - E732 - F732 - G732)</f>
        <v/>
      </c>
      <c r="I732">
        <f>IF(ISBLANK(A732), "", D732 - XLOOKUP(A732, Inventory!A:A, Inventory!H:H, TODAY()))</f>
        <v/>
      </c>
    </row>
    <row r="733">
      <c r="E733">
        <f>IF(ISBLANK(A733), "", XLOOKUP(A733, Inventory!A:A, Inventory!E:E, 0))</f>
        <v/>
      </c>
      <c r="F733">
        <f>IF(ISBLANK(A733), "", (B733 * XLOOKUP(C733, 'Fees &amp; Postage Table'!A:A, 'Fees &amp; Postage Table'!C:C, 0)) + XLOOKUP(C733, 'Fees &amp; Postage Table'!A:A, 'Fees &amp; Postage Table'!B:B, 0))</f>
        <v/>
      </c>
      <c r="G733">
        <f>IF(ISBLANK(A733), "", XLOOKUP(C733, 'Fees &amp; Postage Table'!A:A, 'Fees &amp; Postage Table'!D:D, 0))</f>
        <v/>
      </c>
      <c r="H733">
        <f>IF(ISBLANK(A733), "", B733 - E733 - F733 - G733)</f>
        <v/>
      </c>
      <c r="I733">
        <f>IF(ISBLANK(A733), "", D733 - XLOOKUP(A733, Inventory!A:A, Inventory!H:H, TODAY()))</f>
        <v/>
      </c>
    </row>
    <row r="734">
      <c r="E734">
        <f>IF(ISBLANK(A734), "", XLOOKUP(A734, Inventory!A:A, Inventory!E:E, 0))</f>
        <v/>
      </c>
      <c r="F734">
        <f>IF(ISBLANK(A734), "", (B734 * XLOOKUP(C734, 'Fees &amp; Postage Table'!A:A, 'Fees &amp; Postage Table'!C:C, 0)) + XLOOKUP(C734, 'Fees &amp; Postage Table'!A:A, 'Fees &amp; Postage Table'!B:B, 0))</f>
        <v/>
      </c>
      <c r="G734">
        <f>IF(ISBLANK(A734), "", XLOOKUP(C734, 'Fees &amp; Postage Table'!A:A, 'Fees &amp; Postage Table'!D:D, 0))</f>
        <v/>
      </c>
      <c r="H734">
        <f>IF(ISBLANK(A734), "", B734 - E734 - F734 - G734)</f>
        <v/>
      </c>
      <c r="I734">
        <f>IF(ISBLANK(A734), "", D734 - XLOOKUP(A734, Inventory!A:A, Inventory!H:H, TODAY()))</f>
        <v/>
      </c>
    </row>
    <row r="735">
      <c r="E735">
        <f>IF(ISBLANK(A735), "", XLOOKUP(A735, Inventory!A:A, Inventory!E:E, 0))</f>
        <v/>
      </c>
      <c r="F735">
        <f>IF(ISBLANK(A735), "", (B735 * XLOOKUP(C735, 'Fees &amp; Postage Table'!A:A, 'Fees &amp; Postage Table'!C:C, 0)) + XLOOKUP(C735, 'Fees &amp; Postage Table'!A:A, 'Fees &amp; Postage Table'!B:B, 0))</f>
        <v/>
      </c>
      <c r="G735">
        <f>IF(ISBLANK(A735), "", XLOOKUP(C735, 'Fees &amp; Postage Table'!A:A, 'Fees &amp; Postage Table'!D:D, 0))</f>
        <v/>
      </c>
      <c r="H735">
        <f>IF(ISBLANK(A735), "", B735 - E735 - F735 - G735)</f>
        <v/>
      </c>
      <c r="I735">
        <f>IF(ISBLANK(A735), "", D735 - XLOOKUP(A735, Inventory!A:A, Inventory!H:H, TODAY()))</f>
        <v/>
      </c>
    </row>
    <row r="736">
      <c r="E736">
        <f>IF(ISBLANK(A736), "", XLOOKUP(A736, Inventory!A:A, Inventory!E:E, 0))</f>
        <v/>
      </c>
      <c r="F736">
        <f>IF(ISBLANK(A736), "", (B736 * XLOOKUP(C736, 'Fees &amp; Postage Table'!A:A, 'Fees &amp; Postage Table'!C:C, 0)) + XLOOKUP(C736, 'Fees &amp; Postage Table'!A:A, 'Fees &amp; Postage Table'!B:B, 0))</f>
        <v/>
      </c>
      <c r="G736">
        <f>IF(ISBLANK(A736), "", XLOOKUP(C736, 'Fees &amp; Postage Table'!A:A, 'Fees &amp; Postage Table'!D:D, 0))</f>
        <v/>
      </c>
      <c r="H736">
        <f>IF(ISBLANK(A736), "", B736 - E736 - F736 - G736)</f>
        <v/>
      </c>
      <c r="I736">
        <f>IF(ISBLANK(A736), "", D736 - XLOOKUP(A736, Inventory!A:A, Inventory!H:H, TODAY()))</f>
        <v/>
      </c>
    </row>
    <row r="737">
      <c r="E737">
        <f>IF(ISBLANK(A737), "", XLOOKUP(A737, Inventory!A:A, Inventory!E:E, 0))</f>
        <v/>
      </c>
      <c r="F737">
        <f>IF(ISBLANK(A737), "", (B737 * XLOOKUP(C737, 'Fees &amp; Postage Table'!A:A, 'Fees &amp; Postage Table'!C:C, 0)) + XLOOKUP(C737, 'Fees &amp; Postage Table'!A:A, 'Fees &amp; Postage Table'!B:B, 0))</f>
        <v/>
      </c>
      <c r="G737">
        <f>IF(ISBLANK(A737), "", XLOOKUP(C737, 'Fees &amp; Postage Table'!A:A, 'Fees &amp; Postage Table'!D:D, 0))</f>
        <v/>
      </c>
      <c r="H737">
        <f>IF(ISBLANK(A737), "", B737 - E737 - F737 - G737)</f>
        <v/>
      </c>
      <c r="I737">
        <f>IF(ISBLANK(A737), "", D737 - XLOOKUP(A737, Inventory!A:A, Inventory!H:H, TODAY()))</f>
        <v/>
      </c>
    </row>
    <row r="738">
      <c r="E738">
        <f>IF(ISBLANK(A738), "", XLOOKUP(A738, Inventory!A:A, Inventory!E:E, 0))</f>
        <v/>
      </c>
      <c r="F738">
        <f>IF(ISBLANK(A738), "", (B738 * XLOOKUP(C738, 'Fees &amp; Postage Table'!A:A, 'Fees &amp; Postage Table'!C:C, 0)) + XLOOKUP(C738, 'Fees &amp; Postage Table'!A:A, 'Fees &amp; Postage Table'!B:B, 0))</f>
        <v/>
      </c>
      <c r="G738">
        <f>IF(ISBLANK(A738), "", XLOOKUP(C738, 'Fees &amp; Postage Table'!A:A, 'Fees &amp; Postage Table'!D:D, 0))</f>
        <v/>
      </c>
      <c r="H738">
        <f>IF(ISBLANK(A738), "", B738 - E738 - F738 - G738)</f>
        <v/>
      </c>
      <c r="I738">
        <f>IF(ISBLANK(A738), "", D738 - XLOOKUP(A738, Inventory!A:A, Inventory!H:H, TODAY()))</f>
        <v/>
      </c>
    </row>
    <row r="739">
      <c r="E739">
        <f>IF(ISBLANK(A739), "", XLOOKUP(A739, Inventory!A:A, Inventory!E:E, 0))</f>
        <v/>
      </c>
      <c r="F739">
        <f>IF(ISBLANK(A739), "", (B739 * XLOOKUP(C739, 'Fees &amp; Postage Table'!A:A, 'Fees &amp; Postage Table'!C:C, 0)) + XLOOKUP(C739, 'Fees &amp; Postage Table'!A:A, 'Fees &amp; Postage Table'!B:B, 0))</f>
        <v/>
      </c>
      <c r="G739">
        <f>IF(ISBLANK(A739), "", XLOOKUP(C739, 'Fees &amp; Postage Table'!A:A, 'Fees &amp; Postage Table'!D:D, 0))</f>
        <v/>
      </c>
      <c r="H739">
        <f>IF(ISBLANK(A739), "", B739 - E739 - F739 - G739)</f>
        <v/>
      </c>
      <c r="I739">
        <f>IF(ISBLANK(A739), "", D739 - XLOOKUP(A739, Inventory!A:A, Inventory!H:H, TODAY()))</f>
        <v/>
      </c>
    </row>
    <row r="740">
      <c r="E740">
        <f>IF(ISBLANK(A740), "", XLOOKUP(A740, Inventory!A:A, Inventory!E:E, 0))</f>
        <v/>
      </c>
      <c r="F740">
        <f>IF(ISBLANK(A740), "", (B740 * XLOOKUP(C740, 'Fees &amp; Postage Table'!A:A, 'Fees &amp; Postage Table'!C:C, 0)) + XLOOKUP(C740, 'Fees &amp; Postage Table'!A:A, 'Fees &amp; Postage Table'!B:B, 0))</f>
        <v/>
      </c>
      <c r="G740">
        <f>IF(ISBLANK(A740), "", XLOOKUP(C740, 'Fees &amp; Postage Table'!A:A, 'Fees &amp; Postage Table'!D:D, 0))</f>
        <v/>
      </c>
      <c r="H740">
        <f>IF(ISBLANK(A740), "", B740 - E740 - F740 - G740)</f>
        <v/>
      </c>
      <c r="I740">
        <f>IF(ISBLANK(A740), "", D740 - XLOOKUP(A740, Inventory!A:A, Inventory!H:H, TODAY()))</f>
        <v/>
      </c>
    </row>
    <row r="741">
      <c r="E741">
        <f>IF(ISBLANK(A741), "", XLOOKUP(A741, Inventory!A:A, Inventory!E:E, 0))</f>
        <v/>
      </c>
      <c r="F741">
        <f>IF(ISBLANK(A741), "", (B741 * XLOOKUP(C741, 'Fees &amp; Postage Table'!A:A, 'Fees &amp; Postage Table'!C:C, 0)) + XLOOKUP(C741, 'Fees &amp; Postage Table'!A:A, 'Fees &amp; Postage Table'!B:B, 0))</f>
        <v/>
      </c>
      <c r="G741">
        <f>IF(ISBLANK(A741), "", XLOOKUP(C741, 'Fees &amp; Postage Table'!A:A, 'Fees &amp; Postage Table'!D:D, 0))</f>
        <v/>
      </c>
      <c r="H741">
        <f>IF(ISBLANK(A741), "", B741 - E741 - F741 - G741)</f>
        <v/>
      </c>
      <c r="I741">
        <f>IF(ISBLANK(A741), "", D741 - XLOOKUP(A741, Inventory!A:A, Inventory!H:H, TODAY()))</f>
        <v/>
      </c>
    </row>
    <row r="742">
      <c r="E742">
        <f>IF(ISBLANK(A742), "", XLOOKUP(A742, Inventory!A:A, Inventory!E:E, 0))</f>
        <v/>
      </c>
      <c r="F742">
        <f>IF(ISBLANK(A742), "", (B742 * XLOOKUP(C742, 'Fees &amp; Postage Table'!A:A, 'Fees &amp; Postage Table'!C:C, 0)) + XLOOKUP(C742, 'Fees &amp; Postage Table'!A:A, 'Fees &amp; Postage Table'!B:B, 0))</f>
        <v/>
      </c>
      <c r="G742">
        <f>IF(ISBLANK(A742), "", XLOOKUP(C742, 'Fees &amp; Postage Table'!A:A, 'Fees &amp; Postage Table'!D:D, 0))</f>
        <v/>
      </c>
      <c r="H742">
        <f>IF(ISBLANK(A742), "", B742 - E742 - F742 - G742)</f>
        <v/>
      </c>
      <c r="I742">
        <f>IF(ISBLANK(A742), "", D742 - XLOOKUP(A742, Inventory!A:A, Inventory!H:H, TODAY()))</f>
        <v/>
      </c>
    </row>
    <row r="743">
      <c r="E743">
        <f>IF(ISBLANK(A743), "", XLOOKUP(A743, Inventory!A:A, Inventory!E:E, 0))</f>
        <v/>
      </c>
      <c r="F743">
        <f>IF(ISBLANK(A743), "", (B743 * XLOOKUP(C743, 'Fees &amp; Postage Table'!A:A, 'Fees &amp; Postage Table'!C:C, 0)) + XLOOKUP(C743, 'Fees &amp; Postage Table'!A:A, 'Fees &amp; Postage Table'!B:B, 0))</f>
        <v/>
      </c>
      <c r="G743">
        <f>IF(ISBLANK(A743), "", XLOOKUP(C743, 'Fees &amp; Postage Table'!A:A, 'Fees &amp; Postage Table'!D:D, 0))</f>
        <v/>
      </c>
      <c r="H743">
        <f>IF(ISBLANK(A743), "", B743 - E743 - F743 - G743)</f>
        <v/>
      </c>
      <c r="I743">
        <f>IF(ISBLANK(A743), "", D743 - XLOOKUP(A743, Inventory!A:A, Inventory!H:H, TODAY()))</f>
        <v/>
      </c>
    </row>
    <row r="744">
      <c r="E744">
        <f>IF(ISBLANK(A744), "", XLOOKUP(A744, Inventory!A:A, Inventory!E:E, 0))</f>
        <v/>
      </c>
      <c r="F744">
        <f>IF(ISBLANK(A744), "", (B744 * XLOOKUP(C744, 'Fees &amp; Postage Table'!A:A, 'Fees &amp; Postage Table'!C:C, 0)) + XLOOKUP(C744, 'Fees &amp; Postage Table'!A:A, 'Fees &amp; Postage Table'!B:B, 0))</f>
        <v/>
      </c>
      <c r="G744">
        <f>IF(ISBLANK(A744), "", XLOOKUP(C744, 'Fees &amp; Postage Table'!A:A, 'Fees &amp; Postage Table'!D:D, 0))</f>
        <v/>
      </c>
      <c r="H744">
        <f>IF(ISBLANK(A744), "", B744 - E744 - F744 - G744)</f>
        <v/>
      </c>
      <c r="I744">
        <f>IF(ISBLANK(A744), "", D744 - XLOOKUP(A744, Inventory!A:A, Inventory!H:H, TODAY()))</f>
        <v/>
      </c>
    </row>
    <row r="745">
      <c r="E745">
        <f>IF(ISBLANK(A745), "", XLOOKUP(A745, Inventory!A:A, Inventory!E:E, 0))</f>
        <v/>
      </c>
      <c r="F745">
        <f>IF(ISBLANK(A745), "", (B745 * XLOOKUP(C745, 'Fees &amp; Postage Table'!A:A, 'Fees &amp; Postage Table'!C:C, 0)) + XLOOKUP(C745, 'Fees &amp; Postage Table'!A:A, 'Fees &amp; Postage Table'!B:B, 0))</f>
        <v/>
      </c>
      <c r="G745">
        <f>IF(ISBLANK(A745), "", XLOOKUP(C745, 'Fees &amp; Postage Table'!A:A, 'Fees &amp; Postage Table'!D:D, 0))</f>
        <v/>
      </c>
      <c r="H745">
        <f>IF(ISBLANK(A745), "", B745 - E745 - F745 - G745)</f>
        <v/>
      </c>
      <c r="I745">
        <f>IF(ISBLANK(A745), "", D745 - XLOOKUP(A745, Inventory!A:A, Inventory!H:H, TODAY()))</f>
        <v/>
      </c>
    </row>
    <row r="746">
      <c r="E746">
        <f>IF(ISBLANK(A746), "", XLOOKUP(A746, Inventory!A:A, Inventory!E:E, 0))</f>
        <v/>
      </c>
      <c r="F746">
        <f>IF(ISBLANK(A746), "", (B746 * XLOOKUP(C746, 'Fees &amp; Postage Table'!A:A, 'Fees &amp; Postage Table'!C:C, 0)) + XLOOKUP(C746, 'Fees &amp; Postage Table'!A:A, 'Fees &amp; Postage Table'!B:B, 0))</f>
        <v/>
      </c>
      <c r="G746">
        <f>IF(ISBLANK(A746), "", XLOOKUP(C746, 'Fees &amp; Postage Table'!A:A, 'Fees &amp; Postage Table'!D:D, 0))</f>
        <v/>
      </c>
      <c r="H746">
        <f>IF(ISBLANK(A746), "", B746 - E746 - F746 - G746)</f>
        <v/>
      </c>
      <c r="I746">
        <f>IF(ISBLANK(A746), "", D746 - XLOOKUP(A746, Inventory!A:A, Inventory!H:H, TODAY()))</f>
        <v/>
      </c>
    </row>
    <row r="747">
      <c r="E747">
        <f>IF(ISBLANK(A747), "", XLOOKUP(A747, Inventory!A:A, Inventory!E:E, 0))</f>
        <v/>
      </c>
      <c r="F747">
        <f>IF(ISBLANK(A747), "", (B747 * XLOOKUP(C747, 'Fees &amp; Postage Table'!A:A, 'Fees &amp; Postage Table'!C:C, 0)) + XLOOKUP(C747, 'Fees &amp; Postage Table'!A:A, 'Fees &amp; Postage Table'!B:B, 0))</f>
        <v/>
      </c>
      <c r="G747">
        <f>IF(ISBLANK(A747), "", XLOOKUP(C747, 'Fees &amp; Postage Table'!A:A, 'Fees &amp; Postage Table'!D:D, 0))</f>
        <v/>
      </c>
      <c r="H747">
        <f>IF(ISBLANK(A747), "", B747 - E747 - F747 - G747)</f>
        <v/>
      </c>
      <c r="I747">
        <f>IF(ISBLANK(A747), "", D747 - XLOOKUP(A747, Inventory!A:A, Inventory!H:H, TODAY()))</f>
        <v/>
      </c>
    </row>
    <row r="748">
      <c r="E748">
        <f>IF(ISBLANK(A748), "", XLOOKUP(A748, Inventory!A:A, Inventory!E:E, 0))</f>
        <v/>
      </c>
      <c r="F748">
        <f>IF(ISBLANK(A748), "", (B748 * XLOOKUP(C748, 'Fees &amp; Postage Table'!A:A, 'Fees &amp; Postage Table'!C:C, 0)) + XLOOKUP(C748, 'Fees &amp; Postage Table'!A:A, 'Fees &amp; Postage Table'!B:B, 0))</f>
        <v/>
      </c>
      <c r="G748">
        <f>IF(ISBLANK(A748), "", XLOOKUP(C748, 'Fees &amp; Postage Table'!A:A, 'Fees &amp; Postage Table'!D:D, 0))</f>
        <v/>
      </c>
      <c r="H748">
        <f>IF(ISBLANK(A748), "", B748 - E748 - F748 - G748)</f>
        <v/>
      </c>
      <c r="I748">
        <f>IF(ISBLANK(A748), "", D748 - XLOOKUP(A748, Inventory!A:A, Inventory!H:H, TODAY()))</f>
        <v/>
      </c>
    </row>
    <row r="749">
      <c r="E749">
        <f>IF(ISBLANK(A749), "", XLOOKUP(A749, Inventory!A:A, Inventory!E:E, 0))</f>
        <v/>
      </c>
      <c r="F749">
        <f>IF(ISBLANK(A749), "", (B749 * XLOOKUP(C749, 'Fees &amp; Postage Table'!A:A, 'Fees &amp; Postage Table'!C:C, 0)) + XLOOKUP(C749, 'Fees &amp; Postage Table'!A:A, 'Fees &amp; Postage Table'!B:B, 0))</f>
        <v/>
      </c>
      <c r="G749">
        <f>IF(ISBLANK(A749), "", XLOOKUP(C749, 'Fees &amp; Postage Table'!A:A, 'Fees &amp; Postage Table'!D:D, 0))</f>
        <v/>
      </c>
      <c r="H749">
        <f>IF(ISBLANK(A749), "", B749 - E749 - F749 - G749)</f>
        <v/>
      </c>
      <c r="I749">
        <f>IF(ISBLANK(A749), "", D749 - XLOOKUP(A749, Inventory!A:A, Inventory!H:H, TODAY()))</f>
        <v/>
      </c>
    </row>
    <row r="750">
      <c r="E750">
        <f>IF(ISBLANK(A750), "", XLOOKUP(A750, Inventory!A:A, Inventory!E:E, 0))</f>
        <v/>
      </c>
      <c r="F750">
        <f>IF(ISBLANK(A750), "", (B750 * XLOOKUP(C750, 'Fees &amp; Postage Table'!A:A, 'Fees &amp; Postage Table'!C:C, 0)) + XLOOKUP(C750, 'Fees &amp; Postage Table'!A:A, 'Fees &amp; Postage Table'!B:B, 0))</f>
        <v/>
      </c>
      <c r="G750">
        <f>IF(ISBLANK(A750), "", XLOOKUP(C750, 'Fees &amp; Postage Table'!A:A, 'Fees &amp; Postage Table'!D:D, 0))</f>
        <v/>
      </c>
      <c r="H750">
        <f>IF(ISBLANK(A750), "", B750 - E750 - F750 - G750)</f>
        <v/>
      </c>
      <c r="I750">
        <f>IF(ISBLANK(A750), "", D750 - XLOOKUP(A750, Inventory!A:A, Inventory!H:H, TODAY()))</f>
        <v/>
      </c>
    </row>
    <row r="751">
      <c r="E751">
        <f>IF(ISBLANK(A751), "", XLOOKUP(A751, Inventory!A:A, Inventory!E:E, 0))</f>
        <v/>
      </c>
      <c r="F751">
        <f>IF(ISBLANK(A751), "", (B751 * XLOOKUP(C751, 'Fees &amp; Postage Table'!A:A, 'Fees &amp; Postage Table'!C:C, 0)) + XLOOKUP(C751, 'Fees &amp; Postage Table'!A:A, 'Fees &amp; Postage Table'!B:B, 0))</f>
        <v/>
      </c>
      <c r="G751">
        <f>IF(ISBLANK(A751), "", XLOOKUP(C751, 'Fees &amp; Postage Table'!A:A, 'Fees &amp; Postage Table'!D:D, 0))</f>
        <v/>
      </c>
      <c r="H751">
        <f>IF(ISBLANK(A751), "", B751 - E751 - F751 - G751)</f>
        <v/>
      </c>
      <c r="I751">
        <f>IF(ISBLANK(A751), "", D751 - XLOOKUP(A751, Inventory!A:A, Inventory!H:H, TODAY()))</f>
        <v/>
      </c>
    </row>
    <row r="752">
      <c r="E752">
        <f>IF(ISBLANK(A752), "", XLOOKUP(A752, Inventory!A:A, Inventory!E:E, 0))</f>
        <v/>
      </c>
      <c r="F752">
        <f>IF(ISBLANK(A752), "", (B752 * XLOOKUP(C752, 'Fees &amp; Postage Table'!A:A, 'Fees &amp; Postage Table'!C:C, 0)) + XLOOKUP(C752, 'Fees &amp; Postage Table'!A:A, 'Fees &amp; Postage Table'!B:B, 0))</f>
        <v/>
      </c>
      <c r="G752">
        <f>IF(ISBLANK(A752), "", XLOOKUP(C752, 'Fees &amp; Postage Table'!A:A, 'Fees &amp; Postage Table'!D:D, 0))</f>
        <v/>
      </c>
      <c r="H752">
        <f>IF(ISBLANK(A752), "", B752 - E752 - F752 - G752)</f>
        <v/>
      </c>
      <c r="I752">
        <f>IF(ISBLANK(A752), "", D752 - XLOOKUP(A752, Inventory!A:A, Inventory!H:H, TODAY()))</f>
        <v/>
      </c>
    </row>
    <row r="753">
      <c r="E753">
        <f>IF(ISBLANK(A753), "", XLOOKUP(A753, Inventory!A:A, Inventory!E:E, 0))</f>
        <v/>
      </c>
      <c r="F753">
        <f>IF(ISBLANK(A753), "", (B753 * XLOOKUP(C753, 'Fees &amp; Postage Table'!A:A, 'Fees &amp; Postage Table'!C:C, 0)) + XLOOKUP(C753, 'Fees &amp; Postage Table'!A:A, 'Fees &amp; Postage Table'!B:B, 0))</f>
        <v/>
      </c>
      <c r="G753">
        <f>IF(ISBLANK(A753), "", XLOOKUP(C753, 'Fees &amp; Postage Table'!A:A, 'Fees &amp; Postage Table'!D:D, 0))</f>
        <v/>
      </c>
      <c r="H753">
        <f>IF(ISBLANK(A753), "", B753 - E753 - F753 - G753)</f>
        <v/>
      </c>
      <c r="I753">
        <f>IF(ISBLANK(A753), "", D753 - XLOOKUP(A753, Inventory!A:A, Inventory!H:H, TODAY()))</f>
        <v/>
      </c>
    </row>
    <row r="754">
      <c r="E754">
        <f>IF(ISBLANK(A754), "", XLOOKUP(A754, Inventory!A:A, Inventory!E:E, 0))</f>
        <v/>
      </c>
      <c r="F754">
        <f>IF(ISBLANK(A754), "", (B754 * XLOOKUP(C754, 'Fees &amp; Postage Table'!A:A, 'Fees &amp; Postage Table'!C:C, 0)) + XLOOKUP(C754, 'Fees &amp; Postage Table'!A:A, 'Fees &amp; Postage Table'!B:B, 0))</f>
        <v/>
      </c>
      <c r="G754">
        <f>IF(ISBLANK(A754), "", XLOOKUP(C754, 'Fees &amp; Postage Table'!A:A, 'Fees &amp; Postage Table'!D:D, 0))</f>
        <v/>
      </c>
      <c r="H754">
        <f>IF(ISBLANK(A754), "", B754 - E754 - F754 - G754)</f>
        <v/>
      </c>
      <c r="I754">
        <f>IF(ISBLANK(A754), "", D754 - XLOOKUP(A754, Inventory!A:A, Inventory!H:H, TODAY()))</f>
        <v/>
      </c>
    </row>
    <row r="755">
      <c r="E755">
        <f>IF(ISBLANK(A755), "", XLOOKUP(A755, Inventory!A:A, Inventory!E:E, 0))</f>
        <v/>
      </c>
      <c r="F755">
        <f>IF(ISBLANK(A755), "", (B755 * XLOOKUP(C755, 'Fees &amp; Postage Table'!A:A, 'Fees &amp; Postage Table'!C:C, 0)) + XLOOKUP(C755, 'Fees &amp; Postage Table'!A:A, 'Fees &amp; Postage Table'!B:B, 0))</f>
        <v/>
      </c>
      <c r="G755">
        <f>IF(ISBLANK(A755), "", XLOOKUP(C755, 'Fees &amp; Postage Table'!A:A, 'Fees &amp; Postage Table'!D:D, 0))</f>
        <v/>
      </c>
      <c r="H755">
        <f>IF(ISBLANK(A755), "", B755 - E755 - F755 - G755)</f>
        <v/>
      </c>
      <c r="I755">
        <f>IF(ISBLANK(A755), "", D755 - XLOOKUP(A755, Inventory!A:A, Inventory!H:H, TODAY()))</f>
        <v/>
      </c>
    </row>
    <row r="756">
      <c r="E756">
        <f>IF(ISBLANK(A756), "", XLOOKUP(A756, Inventory!A:A, Inventory!E:E, 0))</f>
        <v/>
      </c>
      <c r="F756">
        <f>IF(ISBLANK(A756), "", (B756 * XLOOKUP(C756, 'Fees &amp; Postage Table'!A:A, 'Fees &amp; Postage Table'!C:C, 0)) + XLOOKUP(C756, 'Fees &amp; Postage Table'!A:A, 'Fees &amp; Postage Table'!B:B, 0))</f>
        <v/>
      </c>
      <c r="G756">
        <f>IF(ISBLANK(A756), "", XLOOKUP(C756, 'Fees &amp; Postage Table'!A:A, 'Fees &amp; Postage Table'!D:D, 0))</f>
        <v/>
      </c>
      <c r="H756">
        <f>IF(ISBLANK(A756), "", B756 - E756 - F756 - G756)</f>
        <v/>
      </c>
      <c r="I756">
        <f>IF(ISBLANK(A756), "", D756 - XLOOKUP(A756, Inventory!A:A, Inventory!H:H, TODAY()))</f>
        <v/>
      </c>
    </row>
    <row r="757">
      <c r="E757">
        <f>IF(ISBLANK(A757), "", XLOOKUP(A757, Inventory!A:A, Inventory!E:E, 0))</f>
        <v/>
      </c>
      <c r="F757">
        <f>IF(ISBLANK(A757), "", (B757 * XLOOKUP(C757, 'Fees &amp; Postage Table'!A:A, 'Fees &amp; Postage Table'!C:C, 0)) + XLOOKUP(C757, 'Fees &amp; Postage Table'!A:A, 'Fees &amp; Postage Table'!B:B, 0))</f>
        <v/>
      </c>
      <c r="G757">
        <f>IF(ISBLANK(A757), "", XLOOKUP(C757, 'Fees &amp; Postage Table'!A:A, 'Fees &amp; Postage Table'!D:D, 0))</f>
        <v/>
      </c>
      <c r="H757">
        <f>IF(ISBLANK(A757), "", B757 - E757 - F757 - G757)</f>
        <v/>
      </c>
      <c r="I757">
        <f>IF(ISBLANK(A757), "", D757 - XLOOKUP(A757, Inventory!A:A, Inventory!H:H, TODAY()))</f>
        <v/>
      </c>
    </row>
    <row r="758">
      <c r="E758">
        <f>IF(ISBLANK(A758), "", XLOOKUP(A758, Inventory!A:A, Inventory!E:E, 0))</f>
        <v/>
      </c>
      <c r="F758">
        <f>IF(ISBLANK(A758), "", (B758 * XLOOKUP(C758, 'Fees &amp; Postage Table'!A:A, 'Fees &amp; Postage Table'!C:C, 0)) + XLOOKUP(C758, 'Fees &amp; Postage Table'!A:A, 'Fees &amp; Postage Table'!B:B, 0))</f>
        <v/>
      </c>
      <c r="G758">
        <f>IF(ISBLANK(A758), "", XLOOKUP(C758, 'Fees &amp; Postage Table'!A:A, 'Fees &amp; Postage Table'!D:D, 0))</f>
        <v/>
      </c>
      <c r="H758">
        <f>IF(ISBLANK(A758), "", B758 - E758 - F758 - G758)</f>
        <v/>
      </c>
      <c r="I758">
        <f>IF(ISBLANK(A758), "", D758 - XLOOKUP(A758, Inventory!A:A, Inventory!H:H, TODAY()))</f>
        <v/>
      </c>
    </row>
    <row r="759">
      <c r="E759">
        <f>IF(ISBLANK(A759), "", XLOOKUP(A759, Inventory!A:A, Inventory!E:E, 0))</f>
        <v/>
      </c>
      <c r="F759">
        <f>IF(ISBLANK(A759), "", (B759 * XLOOKUP(C759, 'Fees &amp; Postage Table'!A:A, 'Fees &amp; Postage Table'!C:C, 0)) + XLOOKUP(C759, 'Fees &amp; Postage Table'!A:A, 'Fees &amp; Postage Table'!B:B, 0))</f>
        <v/>
      </c>
      <c r="G759">
        <f>IF(ISBLANK(A759), "", XLOOKUP(C759, 'Fees &amp; Postage Table'!A:A, 'Fees &amp; Postage Table'!D:D, 0))</f>
        <v/>
      </c>
      <c r="H759">
        <f>IF(ISBLANK(A759), "", B759 - E759 - F759 - G759)</f>
        <v/>
      </c>
      <c r="I759">
        <f>IF(ISBLANK(A759), "", D759 - XLOOKUP(A759, Inventory!A:A, Inventory!H:H, TODAY()))</f>
        <v/>
      </c>
    </row>
    <row r="760">
      <c r="E760">
        <f>IF(ISBLANK(A760), "", XLOOKUP(A760, Inventory!A:A, Inventory!E:E, 0))</f>
        <v/>
      </c>
      <c r="F760">
        <f>IF(ISBLANK(A760), "", (B760 * XLOOKUP(C760, 'Fees &amp; Postage Table'!A:A, 'Fees &amp; Postage Table'!C:C, 0)) + XLOOKUP(C760, 'Fees &amp; Postage Table'!A:A, 'Fees &amp; Postage Table'!B:B, 0))</f>
        <v/>
      </c>
      <c r="G760">
        <f>IF(ISBLANK(A760), "", XLOOKUP(C760, 'Fees &amp; Postage Table'!A:A, 'Fees &amp; Postage Table'!D:D, 0))</f>
        <v/>
      </c>
      <c r="H760">
        <f>IF(ISBLANK(A760), "", B760 - E760 - F760 - G760)</f>
        <v/>
      </c>
      <c r="I760">
        <f>IF(ISBLANK(A760), "", D760 - XLOOKUP(A760, Inventory!A:A, Inventory!H:H, TODAY()))</f>
        <v/>
      </c>
    </row>
    <row r="761">
      <c r="E761">
        <f>IF(ISBLANK(A761), "", XLOOKUP(A761, Inventory!A:A, Inventory!E:E, 0))</f>
        <v/>
      </c>
      <c r="F761">
        <f>IF(ISBLANK(A761), "", (B761 * XLOOKUP(C761, 'Fees &amp; Postage Table'!A:A, 'Fees &amp; Postage Table'!C:C, 0)) + XLOOKUP(C761, 'Fees &amp; Postage Table'!A:A, 'Fees &amp; Postage Table'!B:B, 0))</f>
        <v/>
      </c>
      <c r="G761">
        <f>IF(ISBLANK(A761), "", XLOOKUP(C761, 'Fees &amp; Postage Table'!A:A, 'Fees &amp; Postage Table'!D:D, 0))</f>
        <v/>
      </c>
      <c r="H761">
        <f>IF(ISBLANK(A761), "", B761 - E761 - F761 - G761)</f>
        <v/>
      </c>
      <c r="I761">
        <f>IF(ISBLANK(A761), "", D761 - XLOOKUP(A761, Inventory!A:A, Inventory!H:H, TODAY()))</f>
        <v/>
      </c>
    </row>
    <row r="762">
      <c r="E762">
        <f>IF(ISBLANK(A762), "", XLOOKUP(A762, Inventory!A:A, Inventory!E:E, 0))</f>
        <v/>
      </c>
      <c r="F762">
        <f>IF(ISBLANK(A762), "", (B762 * XLOOKUP(C762, 'Fees &amp; Postage Table'!A:A, 'Fees &amp; Postage Table'!C:C, 0)) + XLOOKUP(C762, 'Fees &amp; Postage Table'!A:A, 'Fees &amp; Postage Table'!B:B, 0))</f>
        <v/>
      </c>
      <c r="G762">
        <f>IF(ISBLANK(A762), "", XLOOKUP(C762, 'Fees &amp; Postage Table'!A:A, 'Fees &amp; Postage Table'!D:D, 0))</f>
        <v/>
      </c>
      <c r="H762">
        <f>IF(ISBLANK(A762), "", B762 - E762 - F762 - G762)</f>
        <v/>
      </c>
      <c r="I762">
        <f>IF(ISBLANK(A762), "", D762 - XLOOKUP(A762, Inventory!A:A, Inventory!H:H, TODAY()))</f>
        <v/>
      </c>
    </row>
    <row r="763">
      <c r="E763">
        <f>IF(ISBLANK(A763), "", XLOOKUP(A763, Inventory!A:A, Inventory!E:E, 0))</f>
        <v/>
      </c>
      <c r="F763">
        <f>IF(ISBLANK(A763), "", (B763 * XLOOKUP(C763, 'Fees &amp; Postage Table'!A:A, 'Fees &amp; Postage Table'!C:C, 0)) + XLOOKUP(C763, 'Fees &amp; Postage Table'!A:A, 'Fees &amp; Postage Table'!B:B, 0))</f>
        <v/>
      </c>
      <c r="G763">
        <f>IF(ISBLANK(A763), "", XLOOKUP(C763, 'Fees &amp; Postage Table'!A:A, 'Fees &amp; Postage Table'!D:D, 0))</f>
        <v/>
      </c>
      <c r="H763">
        <f>IF(ISBLANK(A763), "", B763 - E763 - F763 - G763)</f>
        <v/>
      </c>
      <c r="I763">
        <f>IF(ISBLANK(A763), "", D763 - XLOOKUP(A763, Inventory!A:A, Inventory!H:H, TODAY()))</f>
        <v/>
      </c>
    </row>
    <row r="764">
      <c r="E764">
        <f>IF(ISBLANK(A764), "", XLOOKUP(A764, Inventory!A:A, Inventory!E:E, 0))</f>
        <v/>
      </c>
      <c r="F764">
        <f>IF(ISBLANK(A764), "", (B764 * XLOOKUP(C764, 'Fees &amp; Postage Table'!A:A, 'Fees &amp; Postage Table'!C:C, 0)) + XLOOKUP(C764, 'Fees &amp; Postage Table'!A:A, 'Fees &amp; Postage Table'!B:B, 0))</f>
        <v/>
      </c>
      <c r="G764">
        <f>IF(ISBLANK(A764), "", XLOOKUP(C764, 'Fees &amp; Postage Table'!A:A, 'Fees &amp; Postage Table'!D:D, 0))</f>
        <v/>
      </c>
      <c r="H764">
        <f>IF(ISBLANK(A764), "", B764 - E764 - F764 - G764)</f>
        <v/>
      </c>
      <c r="I764">
        <f>IF(ISBLANK(A764), "", D764 - XLOOKUP(A764, Inventory!A:A, Inventory!H:H, TODAY()))</f>
        <v/>
      </c>
    </row>
    <row r="765">
      <c r="E765">
        <f>IF(ISBLANK(A765), "", XLOOKUP(A765, Inventory!A:A, Inventory!E:E, 0))</f>
        <v/>
      </c>
      <c r="F765">
        <f>IF(ISBLANK(A765), "", (B765 * XLOOKUP(C765, 'Fees &amp; Postage Table'!A:A, 'Fees &amp; Postage Table'!C:C, 0)) + XLOOKUP(C765, 'Fees &amp; Postage Table'!A:A, 'Fees &amp; Postage Table'!B:B, 0))</f>
        <v/>
      </c>
      <c r="G765">
        <f>IF(ISBLANK(A765), "", XLOOKUP(C765, 'Fees &amp; Postage Table'!A:A, 'Fees &amp; Postage Table'!D:D, 0))</f>
        <v/>
      </c>
      <c r="H765">
        <f>IF(ISBLANK(A765), "", B765 - E765 - F765 - G765)</f>
        <v/>
      </c>
      <c r="I765">
        <f>IF(ISBLANK(A765), "", D765 - XLOOKUP(A765, Inventory!A:A, Inventory!H:H, TODAY()))</f>
        <v/>
      </c>
    </row>
    <row r="766">
      <c r="E766">
        <f>IF(ISBLANK(A766), "", XLOOKUP(A766, Inventory!A:A, Inventory!E:E, 0))</f>
        <v/>
      </c>
      <c r="F766">
        <f>IF(ISBLANK(A766), "", (B766 * XLOOKUP(C766, 'Fees &amp; Postage Table'!A:A, 'Fees &amp; Postage Table'!C:C, 0)) + XLOOKUP(C766, 'Fees &amp; Postage Table'!A:A, 'Fees &amp; Postage Table'!B:B, 0))</f>
        <v/>
      </c>
      <c r="G766">
        <f>IF(ISBLANK(A766), "", XLOOKUP(C766, 'Fees &amp; Postage Table'!A:A, 'Fees &amp; Postage Table'!D:D, 0))</f>
        <v/>
      </c>
      <c r="H766">
        <f>IF(ISBLANK(A766), "", B766 - E766 - F766 - G766)</f>
        <v/>
      </c>
      <c r="I766">
        <f>IF(ISBLANK(A766), "", D766 - XLOOKUP(A766, Inventory!A:A, Inventory!H:H, TODAY()))</f>
        <v/>
      </c>
    </row>
    <row r="767">
      <c r="E767">
        <f>IF(ISBLANK(A767), "", XLOOKUP(A767, Inventory!A:A, Inventory!E:E, 0))</f>
        <v/>
      </c>
      <c r="F767">
        <f>IF(ISBLANK(A767), "", (B767 * XLOOKUP(C767, 'Fees &amp; Postage Table'!A:A, 'Fees &amp; Postage Table'!C:C, 0)) + XLOOKUP(C767, 'Fees &amp; Postage Table'!A:A, 'Fees &amp; Postage Table'!B:B, 0))</f>
        <v/>
      </c>
      <c r="G767">
        <f>IF(ISBLANK(A767), "", XLOOKUP(C767, 'Fees &amp; Postage Table'!A:A, 'Fees &amp; Postage Table'!D:D, 0))</f>
        <v/>
      </c>
      <c r="H767">
        <f>IF(ISBLANK(A767), "", B767 - E767 - F767 - G767)</f>
        <v/>
      </c>
      <c r="I767">
        <f>IF(ISBLANK(A767), "", D767 - XLOOKUP(A767, Inventory!A:A, Inventory!H:H, TODAY()))</f>
        <v/>
      </c>
    </row>
    <row r="768">
      <c r="E768">
        <f>IF(ISBLANK(A768), "", XLOOKUP(A768, Inventory!A:A, Inventory!E:E, 0))</f>
        <v/>
      </c>
      <c r="F768">
        <f>IF(ISBLANK(A768), "", (B768 * XLOOKUP(C768, 'Fees &amp; Postage Table'!A:A, 'Fees &amp; Postage Table'!C:C, 0)) + XLOOKUP(C768, 'Fees &amp; Postage Table'!A:A, 'Fees &amp; Postage Table'!B:B, 0))</f>
        <v/>
      </c>
      <c r="G768">
        <f>IF(ISBLANK(A768), "", XLOOKUP(C768, 'Fees &amp; Postage Table'!A:A, 'Fees &amp; Postage Table'!D:D, 0))</f>
        <v/>
      </c>
      <c r="H768">
        <f>IF(ISBLANK(A768), "", B768 - E768 - F768 - G768)</f>
        <v/>
      </c>
      <c r="I768">
        <f>IF(ISBLANK(A768), "", D768 - XLOOKUP(A768, Inventory!A:A, Inventory!H:H, TODAY()))</f>
        <v/>
      </c>
    </row>
    <row r="769">
      <c r="E769">
        <f>IF(ISBLANK(A769), "", XLOOKUP(A769, Inventory!A:A, Inventory!E:E, 0))</f>
        <v/>
      </c>
      <c r="F769">
        <f>IF(ISBLANK(A769), "", (B769 * XLOOKUP(C769, 'Fees &amp; Postage Table'!A:A, 'Fees &amp; Postage Table'!C:C, 0)) + XLOOKUP(C769, 'Fees &amp; Postage Table'!A:A, 'Fees &amp; Postage Table'!B:B, 0))</f>
        <v/>
      </c>
      <c r="G769">
        <f>IF(ISBLANK(A769), "", XLOOKUP(C769, 'Fees &amp; Postage Table'!A:A, 'Fees &amp; Postage Table'!D:D, 0))</f>
        <v/>
      </c>
      <c r="H769">
        <f>IF(ISBLANK(A769), "", B769 - E769 - F769 - G769)</f>
        <v/>
      </c>
      <c r="I769">
        <f>IF(ISBLANK(A769), "", D769 - XLOOKUP(A769, Inventory!A:A, Inventory!H:H, TODAY()))</f>
        <v/>
      </c>
    </row>
    <row r="770">
      <c r="E770">
        <f>IF(ISBLANK(A770), "", XLOOKUP(A770, Inventory!A:A, Inventory!E:E, 0))</f>
        <v/>
      </c>
      <c r="F770">
        <f>IF(ISBLANK(A770), "", (B770 * XLOOKUP(C770, 'Fees &amp; Postage Table'!A:A, 'Fees &amp; Postage Table'!C:C, 0)) + XLOOKUP(C770, 'Fees &amp; Postage Table'!A:A, 'Fees &amp; Postage Table'!B:B, 0))</f>
        <v/>
      </c>
      <c r="G770">
        <f>IF(ISBLANK(A770), "", XLOOKUP(C770, 'Fees &amp; Postage Table'!A:A, 'Fees &amp; Postage Table'!D:D, 0))</f>
        <v/>
      </c>
      <c r="H770">
        <f>IF(ISBLANK(A770), "", B770 - E770 - F770 - G770)</f>
        <v/>
      </c>
      <c r="I770">
        <f>IF(ISBLANK(A770), "", D770 - XLOOKUP(A770, Inventory!A:A, Inventory!H:H, TODAY()))</f>
        <v/>
      </c>
    </row>
    <row r="771">
      <c r="E771">
        <f>IF(ISBLANK(A771), "", XLOOKUP(A771, Inventory!A:A, Inventory!E:E, 0))</f>
        <v/>
      </c>
      <c r="F771">
        <f>IF(ISBLANK(A771), "", (B771 * XLOOKUP(C771, 'Fees &amp; Postage Table'!A:A, 'Fees &amp; Postage Table'!C:C, 0)) + XLOOKUP(C771, 'Fees &amp; Postage Table'!A:A, 'Fees &amp; Postage Table'!B:B, 0))</f>
        <v/>
      </c>
      <c r="G771">
        <f>IF(ISBLANK(A771), "", XLOOKUP(C771, 'Fees &amp; Postage Table'!A:A, 'Fees &amp; Postage Table'!D:D, 0))</f>
        <v/>
      </c>
      <c r="H771">
        <f>IF(ISBLANK(A771), "", B771 - E771 - F771 - G771)</f>
        <v/>
      </c>
      <c r="I771">
        <f>IF(ISBLANK(A771), "", D771 - XLOOKUP(A771, Inventory!A:A, Inventory!H:H, TODAY()))</f>
        <v/>
      </c>
    </row>
    <row r="772">
      <c r="E772">
        <f>IF(ISBLANK(A772), "", XLOOKUP(A772, Inventory!A:A, Inventory!E:E, 0))</f>
        <v/>
      </c>
      <c r="F772">
        <f>IF(ISBLANK(A772), "", (B772 * XLOOKUP(C772, 'Fees &amp; Postage Table'!A:A, 'Fees &amp; Postage Table'!C:C, 0)) + XLOOKUP(C772, 'Fees &amp; Postage Table'!A:A, 'Fees &amp; Postage Table'!B:B, 0))</f>
        <v/>
      </c>
      <c r="G772">
        <f>IF(ISBLANK(A772), "", XLOOKUP(C772, 'Fees &amp; Postage Table'!A:A, 'Fees &amp; Postage Table'!D:D, 0))</f>
        <v/>
      </c>
      <c r="H772">
        <f>IF(ISBLANK(A772), "", B772 - E772 - F772 - G772)</f>
        <v/>
      </c>
      <c r="I772">
        <f>IF(ISBLANK(A772), "", D772 - XLOOKUP(A772, Inventory!A:A, Inventory!H:H, TODAY()))</f>
        <v/>
      </c>
    </row>
    <row r="773">
      <c r="E773">
        <f>IF(ISBLANK(A773), "", XLOOKUP(A773, Inventory!A:A, Inventory!E:E, 0))</f>
        <v/>
      </c>
      <c r="F773">
        <f>IF(ISBLANK(A773), "", (B773 * XLOOKUP(C773, 'Fees &amp; Postage Table'!A:A, 'Fees &amp; Postage Table'!C:C, 0)) + XLOOKUP(C773, 'Fees &amp; Postage Table'!A:A, 'Fees &amp; Postage Table'!B:B, 0))</f>
        <v/>
      </c>
      <c r="G773">
        <f>IF(ISBLANK(A773), "", XLOOKUP(C773, 'Fees &amp; Postage Table'!A:A, 'Fees &amp; Postage Table'!D:D, 0))</f>
        <v/>
      </c>
      <c r="H773">
        <f>IF(ISBLANK(A773), "", B773 - E773 - F773 - G773)</f>
        <v/>
      </c>
      <c r="I773">
        <f>IF(ISBLANK(A773), "", D773 - XLOOKUP(A773, Inventory!A:A, Inventory!H:H, TODAY()))</f>
        <v/>
      </c>
    </row>
    <row r="774">
      <c r="E774">
        <f>IF(ISBLANK(A774), "", XLOOKUP(A774, Inventory!A:A, Inventory!E:E, 0))</f>
        <v/>
      </c>
      <c r="F774">
        <f>IF(ISBLANK(A774), "", (B774 * XLOOKUP(C774, 'Fees &amp; Postage Table'!A:A, 'Fees &amp; Postage Table'!C:C, 0)) + XLOOKUP(C774, 'Fees &amp; Postage Table'!A:A, 'Fees &amp; Postage Table'!B:B, 0))</f>
        <v/>
      </c>
      <c r="G774">
        <f>IF(ISBLANK(A774), "", XLOOKUP(C774, 'Fees &amp; Postage Table'!A:A, 'Fees &amp; Postage Table'!D:D, 0))</f>
        <v/>
      </c>
      <c r="H774">
        <f>IF(ISBLANK(A774), "", B774 - E774 - F774 - G774)</f>
        <v/>
      </c>
      <c r="I774">
        <f>IF(ISBLANK(A774), "", D774 - XLOOKUP(A774, Inventory!A:A, Inventory!H:H, TODAY()))</f>
        <v/>
      </c>
    </row>
    <row r="775">
      <c r="E775">
        <f>IF(ISBLANK(A775), "", XLOOKUP(A775, Inventory!A:A, Inventory!E:E, 0))</f>
        <v/>
      </c>
      <c r="F775">
        <f>IF(ISBLANK(A775), "", (B775 * XLOOKUP(C775, 'Fees &amp; Postage Table'!A:A, 'Fees &amp; Postage Table'!C:C, 0)) + XLOOKUP(C775, 'Fees &amp; Postage Table'!A:A, 'Fees &amp; Postage Table'!B:B, 0))</f>
        <v/>
      </c>
      <c r="G775">
        <f>IF(ISBLANK(A775), "", XLOOKUP(C775, 'Fees &amp; Postage Table'!A:A, 'Fees &amp; Postage Table'!D:D, 0))</f>
        <v/>
      </c>
      <c r="H775">
        <f>IF(ISBLANK(A775), "", B775 - E775 - F775 - G775)</f>
        <v/>
      </c>
      <c r="I775">
        <f>IF(ISBLANK(A775), "", D775 - XLOOKUP(A775, Inventory!A:A, Inventory!H:H, TODAY()))</f>
        <v/>
      </c>
    </row>
    <row r="776">
      <c r="E776">
        <f>IF(ISBLANK(A776), "", XLOOKUP(A776, Inventory!A:A, Inventory!E:E, 0))</f>
        <v/>
      </c>
      <c r="F776">
        <f>IF(ISBLANK(A776), "", (B776 * XLOOKUP(C776, 'Fees &amp; Postage Table'!A:A, 'Fees &amp; Postage Table'!C:C, 0)) + XLOOKUP(C776, 'Fees &amp; Postage Table'!A:A, 'Fees &amp; Postage Table'!B:B, 0))</f>
        <v/>
      </c>
      <c r="G776">
        <f>IF(ISBLANK(A776), "", XLOOKUP(C776, 'Fees &amp; Postage Table'!A:A, 'Fees &amp; Postage Table'!D:D, 0))</f>
        <v/>
      </c>
      <c r="H776">
        <f>IF(ISBLANK(A776), "", B776 - E776 - F776 - G776)</f>
        <v/>
      </c>
      <c r="I776">
        <f>IF(ISBLANK(A776), "", D776 - XLOOKUP(A776, Inventory!A:A, Inventory!H:H, TODAY()))</f>
        <v/>
      </c>
    </row>
    <row r="777">
      <c r="E777">
        <f>IF(ISBLANK(A777), "", XLOOKUP(A777, Inventory!A:A, Inventory!E:E, 0))</f>
        <v/>
      </c>
      <c r="F777">
        <f>IF(ISBLANK(A777), "", (B777 * XLOOKUP(C777, 'Fees &amp; Postage Table'!A:A, 'Fees &amp; Postage Table'!C:C, 0)) + XLOOKUP(C777, 'Fees &amp; Postage Table'!A:A, 'Fees &amp; Postage Table'!B:B, 0))</f>
        <v/>
      </c>
      <c r="G777">
        <f>IF(ISBLANK(A777), "", XLOOKUP(C777, 'Fees &amp; Postage Table'!A:A, 'Fees &amp; Postage Table'!D:D, 0))</f>
        <v/>
      </c>
      <c r="H777">
        <f>IF(ISBLANK(A777), "", B777 - E777 - F777 - G777)</f>
        <v/>
      </c>
      <c r="I777">
        <f>IF(ISBLANK(A777), "", D777 - XLOOKUP(A777, Inventory!A:A, Inventory!H:H, TODAY()))</f>
        <v/>
      </c>
    </row>
    <row r="778">
      <c r="E778">
        <f>IF(ISBLANK(A778), "", XLOOKUP(A778, Inventory!A:A, Inventory!E:E, 0))</f>
        <v/>
      </c>
      <c r="F778">
        <f>IF(ISBLANK(A778), "", (B778 * XLOOKUP(C778, 'Fees &amp; Postage Table'!A:A, 'Fees &amp; Postage Table'!C:C, 0)) + XLOOKUP(C778, 'Fees &amp; Postage Table'!A:A, 'Fees &amp; Postage Table'!B:B, 0))</f>
        <v/>
      </c>
      <c r="G778">
        <f>IF(ISBLANK(A778), "", XLOOKUP(C778, 'Fees &amp; Postage Table'!A:A, 'Fees &amp; Postage Table'!D:D, 0))</f>
        <v/>
      </c>
      <c r="H778">
        <f>IF(ISBLANK(A778), "", B778 - E778 - F778 - G778)</f>
        <v/>
      </c>
      <c r="I778">
        <f>IF(ISBLANK(A778), "", D778 - XLOOKUP(A778, Inventory!A:A, Inventory!H:H, TODAY()))</f>
        <v/>
      </c>
    </row>
    <row r="779">
      <c r="E779">
        <f>IF(ISBLANK(A779), "", XLOOKUP(A779, Inventory!A:A, Inventory!E:E, 0))</f>
        <v/>
      </c>
      <c r="F779">
        <f>IF(ISBLANK(A779), "", (B779 * XLOOKUP(C779, 'Fees &amp; Postage Table'!A:A, 'Fees &amp; Postage Table'!C:C, 0)) + XLOOKUP(C779, 'Fees &amp; Postage Table'!A:A, 'Fees &amp; Postage Table'!B:B, 0))</f>
        <v/>
      </c>
      <c r="G779">
        <f>IF(ISBLANK(A779), "", XLOOKUP(C779, 'Fees &amp; Postage Table'!A:A, 'Fees &amp; Postage Table'!D:D, 0))</f>
        <v/>
      </c>
      <c r="H779">
        <f>IF(ISBLANK(A779), "", B779 - E779 - F779 - G779)</f>
        <v/>
      </c>
      <c r="I779">
        <f>IF(ISBLANK(A779), "", D779 - XLOOKUP(A779, Inventory!A:A, Inventory!H:H, TODAY()))</f>
        <v/>
      </c>
    </row>
    <row r="780">
      <c r="E780">
        <f>IF(ISBLANK(A780), "", XLOOKUP(A780, Inventory!A:A, Inventory!E:E, 0))</f>
        <v/>
      </c>
      <c r="F780">
        <f>IF(ISBLANK(A780), "", (B780 * XLOOKUP(C780, 'Fees &amp; Postage Table'!A:A, 'Fees &amp; Postage Table'!C:C, 0)) + XLOOKUP(C780, 'Fees &amp; Postage Table'!A:A, 'Fees &amp; Postage Table'!B:B, 0))</f>
        <v/>
      </c>
      <c r="G780">
        <f>IF(ISBLANK(A780), "", XLOOKUP(C780, 'Fees &amp; Postage Table'!A:A, 'Fees &amp; Postage Table'!D:D, 0))</f>
        <v/>
      </c>
      <c r="H780">
        <f>IF(ISBLANK(A780), "", B780 - E780 - F780 - G780)</f>
        <v/>
      </c>
      <c r="I780">
        <f>IF(ISBLANK(A780), "", D780 - XLOOKUP(A780, Inventory!A:A, Inventory!H:H, TODAY()))</f>
        <v/>
      </c>
    </row>
    <row r="781">
      <c r="E781">
        <f>IF(ISBLANK(A781), "", XLOOKUP(A781, Inventory!A:A, Inventory!E:E, 0))</f>
        <v/>
      </c>
      <c r="F781">
        <f>IF(ISBLANK(A781), "", (B781 * XLOOKUP(C781, 'Fees &amp; Postage Table'!A:A, 'Fees &amp; Postage Table'!C:C, 0)) + XLOOKUP(C781, 'Fees &amp; Postage Table'!A:A, 'Fees &amp; Postage Table'!B:B, 0))</f>
        <v/>
      </c>
      <c r="G781">
        <f>IF(ISBLANK(A781), "", XLOOKUP(C781, 'Fees &amp; Postage Table'!A:A, 'Fees &amp; Postage Table'!D:D, 0))</f>
        <v/>
      </c>
      <c r="H781">
        <f>IF(ISBLANK(A781), "", B781 - E781 - F781 - G781)</f>
        <v/>
      </c>
      <c r="I781">
        <f>IF(ISBLANK(A781), "", D781 - XLOOKUP(A781, Inventory!A:A, Inventory!H:H, TODAY()))</f>
        <v/>
      </c>
    </row>
    <row r="782">
      <c r="E782">
        <f>IF(ISBLANK(A782), "", XLOOKUP(A782, Inventory!A:A, Inventory!E:E, 0))</f>
        <v/>
      </c>
      <c r="F782">
        <f>IF(ISBLANK(A782), "", (B782 * XLOOKUP(C782, 'Fees &amp; Postage Table'!A:A, 'Fees &amp; Postage Table'!C:C, 0)) + XLOOKUP(C782, 'Fees &amp; Postage Table'!A:A, 'Fees &amp; Postage Table'!B:B, 0))</f>
        <v/>
      </c>
      <c r="G782">
        <f>IF(ISBLANK(A782), "", XLOOKUP(C782, 'Fees &amp; Postage Table'!A:A, 'Fees &amp; Postage Table'!D:D, 0))</f>
        <v/>
      </c>
      <c r="H782">
        <f>IF(ISBLANK(A782), "", B782 - E782 - F782 - G782)</f>
        <v/>
      </c>
      <c r="I782">
        <f>IF(ISBLANK(A782), "", D782 - XLOOKUP(A782, Inventory!A:A, Inventory!H:H, TODAY()))</f>
        <v/>
      </c>
    </row>
    <row r="783">
      <c r="E783">
        <f>IF(ISBLANK(A783), "", XLOOKUP(A783, Inventory!A:A, Inventory!E:E, 0))</f>
        <v/>
      </c>
      <c r="F783">
        <f>IF(ISBLANK(A783), "", (B783 * XLOOKUP(C783, 'Fees &amp; Postage Table'!A:A, 'Fees &amp; Postage Table'!C:C, 0)) + XLOOKUP(C783, 'Fees &amp; Postage Table'!A:A, 'Fees &amp; Postage Table'!B:B, 0))</f>
        <v/>
      </c>
      <c r="G783">
        <f>IF(ISBLANK(A783), "", XLOOKUP(C783, 'Fees &amp; Postage Table'!A:A, 'Fees &amp; Postage Table'!D:D, 0))</f>
        <v/>
      </c>
      <c r="H783">
        <f>IF(ISBLANK(A783), "", B783 - E783 - F783 - G783)</f>
        <v/>
      </c>
      <c r="I783">
        <f>IF(ISBLANK(A783), "", D783 - XLOOKUP(A783, Inventory!A:A, Inventory!H:H, TODAY()))</f>
        <v/>
      </c>
    </row>
    <row r="784">
      <c r="E784">
        <f>IF(ISBLANK(A784), "", XLOOKUP(A784, Inventory!A:A, Inventory!E:E, 0))</f>
        <v/>
      </c>
      <c r="F784">
        <f>IF(ISBLANK(A784), "", (B784 * XLOOKUP(C784, 'Fees &amp; Postage Table'!A:A, 'Fees &amp; Postage Table'!C:C, 0)) + XLOOKUP(C784, 'Fees &amp; Postage Table'!A:A, 'Fees &amp; Postage Table'!B:B, 0))</f>
        <v/>
      </c>
      <c r="G784">
        <f>IF(ISBLANK(A784), "", XLOOKUP(C784, 'Fees &amp; Postage Table'!A:A, 'Fees &amp; Postage Table'!D:D, 0))</f>
        <v/>
      </c>
      <c r="H784">
        <f>IF(ISBLANK(A784), "", B784 - E784 - F784 - G784)</f>
        <v/>
      </c>
      <c r="I784">
        <f>IF(ISBLANK(A784), "", D784 - XLOOKUP(A784, Inventory!A:A, Inventory!H:H, TODAY()))</f>
        <v/>
      </c>
    </row>
    <row r="785">
      <c r="E785">
        <f>IF(ISBLANK(A785), "", XLOOKUP(A785, Inventory!A:A, Inventory!E:E, 0))</f>
        <v/>
      </c>
      <c r="F785">
        <f>IF(ISBLANK(A785), "", (B785 * XLOOKUP(C785, 'Fees &amp; Postage Table'!A:A, 'Fees &amp; Postage Table'!C:C, 0)) + XLOOKUP(C785, 'Fees &amp; Postage Table'!A:A, 'Fees &amp; Postage Table'!B:B, 0))</f>
        <v/>
      </c>
      <c r="G785">
        <f>IF(ISBLANK(A785), "", XLOOKUP(C785, 'Fees &amp; Postage Table'!A:A, 'Fees &amp; Postage Table'!D:D, 0))</f>
        <v/>
      </c>
      <c r="H785">
        <f>IF(ISBLANK(A785), "", B785 - E785 - F785 - G785)</f>
        <v/>
      </c>
      <c r="I785">
        <f>IF(ISBLANK(A785), "", D785 - XLOOKUP(A785, Inventory!A:A, Inventory!H:H, TODAY()))</f>
        <v/>
      </c>
    </row>
    <row r="786">
      <c r="E786">
        <f>IF(ISBLANK(A786), "", XLOOKUP(A786, Inventory!A:A, Inventory!E:E, 0))</f>
        <v/>
      </c>
      <c r="F786">
        <f>IF(ISBLANK(A786), "", (B786 * XLOOKUP(C786, 'Fees &amp; Postage Table'!A:A, 'Fees &amp; Postage Table'!C:C, 0)) + XLOOKUP(C786, 'Fees &amp; Postage Table'!A:A, 'Fees &amp; Postage Table'!B:B, 0))</f>
        <v/>
      </c>
      <c r="G786">
        <f>IF(ISBLANK(A786), "", XLOOKUP(C786, 'Fees &amp; Postage Table'!A:A, 'Fees &amp; Postage Table'!D:D, 0))</f>
        <v/>
      </c>
      <c r="H786">
        <f>IF(ISBLANK(A786), "", B786 - E786 - F786 - G786)</f>
        <v/>
      </c>
      <c r="I786">
        <f>IF(ISBLANK(A786), "", D786 - XLOOKUP(A786, Inventory!A:A, Inventory!H:H, TODAY()))</f>
        <v/>
      </c>
    </row>
    <row r="787">
      <c r="E787">
        <f>IF(ISBLANK(A787), "", XLOOKUP(A787, Inventory!A:A, Inventory!E:E, 0))</f>
        <v/>
      </c>
      <c r="F787">
        <f>IF(ISBLANK(A787), "", (B787 * XLOOKUP(C787, 'Fees &amp; Postage Table'!A:A, 'Fees &amp; Postage Table'!C:C, 0)) + XLOOKUP(C787, 'Fees &amp; Postage Table'!A:A, 'Fees &amp; Postage Table'!B:B, 0))</f>
        <v/>
      </c>
      <c r="G787">
        <f>IF(ISBLANK(A787), "", XLOOKUP(C787, 'Fees &amp; Postage Table'!A:A, 'Fees &amp; Postage Table'!D:D, 0))</f>
        <v/>
      </c>
      <c r="H787">
        <f>IF(ISBLANK(A787), "", B787 - E787 - F787 - G787)</f>
        <v/>
      </c>
      <c r="I787">
        <f>IF(ISBLANK(A787), "", D787 - XLOOKUP(A787, Inventory!A:A, Inventory!H:H, TODAY()))</f>
        <v/>
      </c>
    </row>
    <row r="788">
      <c r="E788">
        <f>IF(ISBLANK(A788), "", XLOOKUP(A788, Inventory!A:A, Inventory!E:E, 0))</f>
        <v/>
      </c>
      <c r="F788">
        <f>IF(ISBLANK(A788), "", (B788 * XLOOKUP(C788, 'Fees &amp; Postage Table'!A:A, 'Fees &amp; Postage Table'!C:C, 0)) + XLOOKUP(C788, 'Fees &amp; Postage Table'!A:A, 'Fees &amp; Postage Table'!B:B, 0))</f>
        <v/>
      </c>
      <c r="G788">
        <f>IF(ISBLANK(A788), "", XLOOKUP(C788, 'Fees &amp; Postage Table'!A:A, 'Fees &amp; Postage Table'!D:D, 0))</f>
        <v/>
      </c>
      <c r="H788">
        <f>IF(ISBLANK(A788), "", B788 - E788 - F788 - G788)</f>
        <v/>
      </c>
      <c r="I788">
        <f>IF(ISBLANK(A788), "", D788 - XLOOKUP(A788, Inventory!A:A, Inventory!H:H, TODAY()))</f>
        <v/>
      </c>
    </row>
    <row r="789">
      <c r="E789">
        <f>IF(ISBLANK(A789), "", XLOOKUP(A789, Inventory!A:A, Inventory!E:E, 0))</f>
        <v/>
      </c>
      <c r="F789">
        <f>IF(ISBLANK(A789), "", (B789 * XLOOKUP(C789, 'Fees &amp; Postage Table'!A:A, 'Fees &amp; Postage Table'!C:C, 0)) + XLOOKUP(C789, 'Fees &amp; Postage Table'!A:A, 'Fees &amp; Postage Table'!B:B, 0))</f>
        <v/>
      </c>
      <c r="G789">
        <f>IF(ISBLANK(A789), "", XLOOKUP(C789, 'Fees &amp; Postage Table'!A:A, 'Fees &amp; Postage Table'!D:D, 0))</f>
        <v/>
      </c>
      <c r="H789">
        <f>IF(ISBLANK(A789), "", B789 - E789 - F789 - G789)</f>
        <v/>
      </c>
      <c r="I789">
        <f>IF(ISBLANK(A789), "", D789 - XLOOKUP(A789, Inventory!A:A, Inventory!H:H, TODAY()))</f>
        <v/>
      </c>
    </row>
    <row r="790">
      <c r="E790">
        <f>IF(ISBLANK(A790), "", XLOOKUP(A790, Inventory!A:A, Inventory!E:E, 0))</f>
        <v/>
      </c>
      <c r="F790">
        <f>IF(ISBLANK(A790), "", (B790 * XLOOKUP(C790, 'Fees &amp; Postage Table'!A:A, 'Fees &amp; Postage Table'!C:C, 0)) + XLOOKUP(C790, 'Fees &amp; Postage Table'!A:A, 'Fees &amp; Postage Table'!B:B, 0))</f>
        <v/>
      </c>
      <c r="G790">
        <f>IF(ISBLANK(A790), "", XLOOKUP(C790, 'Fees &amp; Postage Table'!A:A, 'Fees &amp; Postage Table'!D:D, 0))</f>
        <v/>
      </c>
      <c r="H790">
        <f>IF(ISBLANK(A790), "", B790 - E790 - F790 - G790)</f>
        <v/>
      </c>
      <c r="I790">
        <f>IF(ISBLANK(A790), "", D790 - XLOOKUP(A790, Inventory!A:A, Inventory!H:H, TODAY()))</f>
        <v/>
      </c>
    </row>
    <row r="791">
      <c r="E791">
        <f>IF(ISBLANK(A791), "", XLOOKUP(A791, Inventory!A:A, Inventory!E:E, 0))</f>
        <v/>
      </c>
      <c r="F791">
        <f>IF(ISBLANK(A791), "", (B791 * XLOOKUP(C791, 'Fees &amp; Postage Table'!A:A, 'Fees &amp; Postage Table'!C:C, 0)) + XLOOKUP(C791, 'Fees &amp; Postage Table'!A:A, 'Fees &amp; Postage Table'!B:B, 0))</f>
        <v/>
      </c>
      <c r="G791">
        <f>IF(ISBLANK(A791), "", XLOOKUP(C791, 'Fees &amp; Postage Table'!A:A, 'Fees &amp; Postage Table'!D:D, 0))</f>
        <v/>
      </c>
      <c r="H791">
        <f>IF(ISBLANK(A791), "", B791 - E791 - F791 - G791)</f>
        <v/>
      </c>
      <c r="I791">
        <f>IF(ISBLANK(A791), "", D791 - XLOOKUP(A791, Inventory!A:A, Inventory!H:H, TODAY()))</f>
        <v/>
      </c>
    </row>
    <row r="792">
      <c r="E792">
        <f>IF(ISBLANK(A792), "", XLOOKUP(A792, Inventory!A:A, Inventory!E:E, 0))</f>
        <v/>
      </c>
      <c r="F792">
        <f>IF(ISBLANK(A792), "", (B792 * XLOOKUP(C792, 'Fees &amp; Postage Table'!A:A, 'Fees &amp; Postage Table'!C:C, 0)) + XLOOKUP(C792, 'Fees &amp; Postage Table'!A:A, 'Fees &amp; Postage Table'!B:B, 0))</f>
        <v/>
      </c>
      <c r="G792">
        <f>IF(ISBLANK(A792), "", XLOOKUP(C792, 'Fees &amp; Postage Table'!A:A, 'Fees &amp; Postage Table'!D:D, 0))</f>
        <v/>
      </c>
      <c r="H792">
        <f>IF(ISBLANK(A792), "", B792 - E792 - F792 - G792)</f>
        <v/>
      </c>
      <c r="I792">
        <f>IF(ISBLANK(A792), "", D792 - XLOOKUP(A792, Inventory!A:A, Inventory!H:H, TODAY()))</f>
        <v/>
      </c>
    </row>
    <row r="793">
      <c r="E793">
        <f>IF(ISBLANK(A793), "", XLOOKUP(A793, Inventory!A:A, Inventory!E:E, 0))</f>
        <v/>
      </c>
      <c r="F793">
        <f>IF(ISBLANK(A793), "", (B793 * XLOOKUP(C793, 'Fees &amp; Postage Table'!A:A, 'Fees &amp; Postage Table'!C:C, 0)) + XLOOKUP(C793, 'Fees &amp; Postage Table'!A:A, 'Fees &amp; Postage Table'!B:B, 0))</f>
        <v/>
      </c>
      <c r="G793">
        <f>IF(ISBLANK(A793), "", XLOOKUP(C793, 'Fees &amp; Postage Table'!A:A, 'Fees &amp; Postage Table'!D:D, 0))</f>
        <v/>
      </c>
      <c r="H793">
        <f>IF(ISBLANK(A793), "", B793 - E793 - F793 - G793)</f>
        <v/>
      </c>
      <c r="I793">
        <f>IF(ISBLANK(A793), "", D793 - XLOOKUP(A793, Inventory!A:A, Inventory!H:H, TODAY()))</f>
        <v/>
      </c>
    </row>
    <row r="794">
      <c r="E794">
        <f>IF(ISBLANK(A794), "", XLOOKUP(A794, Inventory!A:A, Inventory!E:E, 0))</f>
        <v/>
      </c>
      <c r="F794">
        <f>IF(ISBLANK(A794), "", (B794 * XLOOKUP(C794, 'Fees &amp; Postage Table'!A:A, 'Fees &amp; Postage Table'!C:C, 0)) + XLOOKUP(C794, 'Fees &amp; Postage Table'!A:A, 'Fees &amp; Postage Table'!B:B, 0))</f>
        <v/>
      </c>
      <c r="G794">
        <f>IF(ISBLANK(A794), "", XLOOKUP(C794, 'Fees &amp; Postage Table'!A:A, 'Fees &amp; Postage Table'!D:D, 0))</f>
        <v/>
      </c>
      <c r="H794">
        <f>IF(ISBLANK(A794), "", B794 - E794 - F794 - G794)</f>
        <v/>
      </c>
      <c r="I794">
        <f>IF(ISBLANK(A794), "", D794 - XLOOKUP(A794, Inventory!A:A, Inventory!H:H, TODAY()))</f>
        <v/>
      </c>
    </row>
    <row r="795">
      <c r="E795">
        <f>IF(ISBLANK(A795), "", XLOOKUP(A795, Inventory!A:A, Inventory!E:E, 0))</f>
        <v/>
      </c>
      <c r="F795">
        <f>IF(ISBLANK(A795), "", (B795 * XLOOKUP(C795, 'Fees &amp; Postage Table'!A:A, 'Fees &amp; Postage Table'!C:C, 0)) + XLOOKUP(C795, 'Fees &amp; Postage Table'!A:A, 'Fees &amp; Postage Table'!B:B, 0))</f>
        <v/>
      </c>
      <c r="G795">
        <f>IF(ISBLANK(A795), "", XLOOKUP(C795, 'Fees &amp; Postage Table'!A:A, 'Fees &amp; Postage Table'!D:D, 0))</f>
        <v/>
      </c>
      <c r="H795">
        <f>IF(ISBLANK(A795), "", B795 - E795 - F795 - G795)</f>
        <v/>
      </c>
      <c r="I795">
        <f>IF(ISBLANK(A795), "", D795 - XLOOKUP(A795, Inventory!A:A, Inventory!H:H, TODAY()))</f>
        <v/>
      </c>
    </row>
    <row r="796">
      <c r="E796">
        <f>IF(ISBLANK(A796), "", XLOOKUP(A796, Inventory!A:A, Inventory!E:E, 0))</f>
        <v/>
      </c>
      <c r="F796">
        <f>IF(ISBLANK(A796), "", (B796 * XLOOKUP(C796, 'Fees &amp; Postage Table'!A:A, 'Fees &amp; Postage Table'!C:C, 0)) + XLOOKUP(C796, 'Fees &amp; Postage Table'!A:A, 'Fees &amp; Postage Table'!B:B, 0))</f>
        <v/>
      </c>
      <c r="G796">
        <f>IF(ISBLANK(A796), "", XLOOKUP(C796, 'Fees &amp; Postage Table'!A:A, 'Fees &amp; Postage Table'!D:D, 0))</f>
        <v/>
      </c>
      <c r="H796">
        <f>IF(ISBLANK(A796), "", B796 - E796 - F796 - G796)</f>
        <v/>
      </c>
      <c r="I796">
        <f>IF(ISBLANK(A796), "", D796 - XLOOKUP(A796, Inventory!A:A, Inventory!H:H, TODAY()))</f>
        <v/>
      </c>
    </row>
    <row r="797">
      <c r="E797">
        <f>IF(ISBLANK(A797), "", XLOOKUP(A797, Inventory!A:A, Inventory!E:E, 0))</f>
        <v/>
      </c>
      <c r="F797">
        <f>IF(ISBLANK(A797), "", (B797 * XLOOKUP(C797, 'Fees &amp; Postage Table'!A:A, 'Fees &amp; Postage Table'!C:C, 0)) + XLOOKUP(C797, 'Fees &amp; Postage Table'!A:A, 'Fees &amp; Postage Table'!B:B, 0))</f>
        <v/>
      </c>
      <c r="G797">
        <f>IF(ISBLANK(A797), "", XLOOKUP(C797, 'Fees &amp; Postage Table'!A:A, 'Fees &amp; Postage Table'!D:D, 0))</f>
        <v/>
      </c>
      <c r="H797">
        <f>IF(ISBLANK(A797), "", B797 - E797 - F797 - G797)</f>
        <v/>
      </c>
      <c r="I797">
        <f>IF(ISBLANK(A797), "", D797 - XLOOKUP(A797, Inventory!A:A, Inventory!H:H, TODAY()))</f>
        <v/>
      </c>
    </row>
    <row r="798">
      <c r="E798">
        <f>IF(ISBLANK(A798), "", XLOOKUP(A798, Inventory!A:A, Inventory!E:E, 0))</f>
        <v/>
      </c>
      <c r="F798">
        <f>IF(ISBLANK(A798), "", (B798 * XLOOKUP(C798, 'Fees &amp; Postage Table'!A:A, 'Fees &amp; Postage Table'!C:C, 0)) + XLOOKUP(C798, 'Fees &amp; Postage Table'!A:A, 'Fees &amp; Postage Table'!B:B, 0))</f>
        <v/>
      </c>
      <c r="G798">
        <f>IF(ISBLANK(A798), "", XLOOKUP(C798, 'Fees &amp; Postage Table'!A:A, 'Fees &amp; Postage Table'!D:D, 0))</f>
        <v/>
      </c>
      <c r="H798">
        <f>IF(ISBLANK(A798), "", B798 - E798 - F798 - G798)</f>
        <v/>
      </c>
      <c r="I798">
        <f>IF(ISBLANK(A798), "", D798 - XLOOKUP(A798, Inventory!A:A, Inventory!H:H, TODAY()))</f>
        <v/>
      </c>
    </row>
    <row r="799">
      <c r="E799">
        <f>IF(ISBLANK(A799), "", XLOOKUP(A799, Inventory!A:A, Inventory!E:E, 0))</f>
        <v/>
      </c>
      <c r="F799">
        <f>IF(ISBLANK(A799), "", (B799 * XLOOKUP(C799, 'Fees &amp; Postage Table'!A:A, 'Fees &amp; Postage Table'!C:C, 0)) + XLOOKUP(C799, 'Fees &amp; Postage Table'!A:A, 'Fees &amp; Postage Table'!B:B, 0))</f>
        <v/>
      </c>
      <c r="G799">
        <f>IF(ISBLANK(A799), "", XLOOKUP(C799, 'Fees &amp; Postage Table'!A:A, 'Fees &amp; Postage Table'!D:D, 0))</f>
        <v/>
      </c>
      <c r="H799">
        <f>IF(ISBLANK(A799), "", B799 - E799 - F799 - G799)</f>
        <v/>
      </c>
      <c r="I799">
        <f>IF(ISBLANK(A799), "", D799 - XLOOKUP(A799, Inventory!A:A, Inventory!H:H, TODAY()))</f>
        <v/>
      </c>
    </row>
    <row r="800">
      <c r="E800">
        <f>IF(ISBLANK(A800), "", XLOOKUP(A800, Inventory!A:A, Inventory!E:E, 0))</f>
        <v/>
      </c>
      <c r="F800">
        <f>IF(ISBLANK(A800), "", (B800 * XLOOKUP(C800, 'Fees &amp; Postage Table'!A:A, 'Fees &amp; Postage Table'!C:C, 0)) + XLOOKUP(C800, 'Fees &amp; Postage Table'!A:A, 'Fees &amp; Postage Table'!B:B, 0))</f>
        <v/>
      </c>
      <c r="G800">
        <f>IF(ISBLANK(A800), "", XLOOKUP(C800, 'Fees &amp; Postage Table'!A:A, 'Fees &amp; Postage Table'!D:D, 0))</f>
        <v/>
      </c>
      <c r="H800">
        <f>IF(ISBLANK(A800), "", B800 - E800 - F800 - G800)</f>
        <v/>
      </c>
      <c r="I800">
        <f>IF(ISBLANK(A800), "", D800 - XLOOKUP(A800, Inventory!A:A, Inventory!H:H, TODAY()))</f>
        <v/>
      </c>
    </row>
    <row r="801">
      <c r="E801">
        <f>IF(ISBLANK(A801), "", XLOOKUP(A801, Inventory!A:A, Inventory!E:E, 0))</f>
        <v/>
      </c>
      <c r="F801">
        <f>IF(ISBLANK(A801), "", (B801 * XLOOKUP(C801, 'Fees &amp; Postage Table'!A:A, 'Fees &amp; Postage Table'!C:C, 0)) + XLOOKUP(C801, 'Fees &amp; Postage Table'!A:A, 'Fees &amp; Postage Table'!B:B, 0))</f>
        <v/>
      </c>
      <c r="G801">
        <f>IF(ISBLANK(A801), "", XLOOKUP(C801, 'Fees &amp; Postage Table'!A:A, 'Fees &amp; Postage Table'!D:D, 0))</f>
        <v/>
      </c>
      <c r="H801">
        <f>IF(ISBLANK(A801), "", B801 - E801 - F801 - G801)</f>
        <v/>
      </c>
      <c r="I801">
        <f>IF(ISBLANK(A801), "", D801 - XLOOKUP(A801, Inventory!A:A, Inventory!H:H, TODAY()))</f>
        <v/>
      </c>
    </row>
    <row r="802">
      <c r="E802">
        <f>IF(ISBLANK(A802), "", XLOOKUP(A802, Inventory!A:A, Inventory!E:E, 0))</f>
        <v/>
      </c>
      <c r="F802">
        <f>IF(ISBLANK(A802), "", (B802 * XLOOKUP(C802, 'Fees &amp; Postage Table'!A:A, 'Fees &amp; Postage Table'!C:C, 0)) + XLOOKUP(C802, 'Fees &amp; Postage Table'!A:A, 'Fees &amp; Postage Table'!B:B, 0))</f>
        <v/>
      </c>
      <c r="G802">
        <f>IF(ISBLANK(A802), "", XLOOKUP(C802, 'Fees &amp; Postage Table'!A:A, 'Fees &amp; Postage Table'!D:D, 0))</f>
        <v/>
      </c>
      <c r="H802">
        <f>IF(ISBLANK(A802), "", B802 - E802 - F802 - G802)</f>
        <v/>
      </c>
      <c r="I802">
        <f>IF(ISBLANK(A802), "", D802 - XLOOKUP(A802, Inventory!A:A, Inventory!H:H, TODAY()))</f>
        <v/>
      </c>
    </row>
    <row r="803">
      <c r="E803">
        <f>IF(ISBLANK(A803), "", XLOOKUP(A803, Inventory!A:A, Inventory!E:E, 0))</f>
        <v/>
      </c>
      <c r="F803">
        <f>IF(ISBLANK(A803), "", (B803 * XLOOKUP(C803, 'Fees &amp; Postage Table'!A:A, 'Fees &amp; Postage Table'!C:C, 0)) + XLOOKUP(C803, 'Fees &amp; Postage Table'!A:A, 'Fees &amp; Postage Table'!B:B, 0))</f>
        <v/>
      </c>
      <c r="G803">
        <f>IF(ISBLANK(A803), "", XLOOKUP(C803, 'Fees &amp; Postage Table'!A:A, 'Fees &amp; Postage Table'!D:D, 0))</f>
        <v/>
      </c>
      <c r="H803">
        <f>IF(ISBLANK(A803), "", B803 - E803 - F803 - G803)</f>
        <v/>
      </c>
      <c r="I803">
        <f>IF(ISBLANK(A803), "", D803 - XLOOKUP(A803, Inventory!A:A, Inventory!H:H, TODAY()))</f>
        <v/>
      </c>
    </row>
    <row r="804">
      <c r="E804">
        <f>IF(ISBLANK(A804), "", XLOOKUP(A804, Inventory!A:A, Inventory!E:E, 0))</f>
        <v/>
      </c>
      <c r="F804">
        <f>IF(ISBLANK(A804), "", (B804 * XLOOKUP(C804, 'Fees &amp; Postage Table'!A:A, 'Fees &amp; Postage Table'!C:C, 0)) + XLOOKUP(C804, 'Fees &amp; Postage Table'!A:A, 'Fees &amp; Postage Table'!B:B, 0))</f>
        <v/>
      </c>
      <c r="G804">
        <f>IF(ISBLANK(A804), "", XLOOKUP(C804, 'Fees &amp; Postage Table'!A:A, 'Fees &amp; Postage Table'!D:D, 0))</f>
        <v/>
      </c>
      <c r="H804">
        <f>IF(ISBLANK(A804), "", B804 - E804 - F804 - G804)</f>
        <v/>
      </c>
      <c r="I804">
        <f>IF(ISBLANK(A804), "", D804 - XLOOKUP(A804, Inventory!A:A, Inventory!H:H, TODAY()))</f>
        <v/>
      </c>
    </row>
    <row r="805">
      <c r="E805">
        <f>IF(ISBLANK(A805), "", XLOOKUP(A805, Inventory!A:A, Inventory!E:E, 0))</f>
        <v/>
      </c>
      <c r="F805">
        <f>IF(ISBLANK(A805), "", (B805 * XLOOKUP(C805, 'Fees &amp; Postage Table'!A:A, 'Fees &amp; Postage Table'!C:C, 0)) + XLOOKUP(C805, 'Fees &amp; Postage Table'!A:A, 'Fees &amp; Postage Table'!B:B, 0))</f>
        <v/>
      </c>
      <c r="G805">
        <f>IF(ISBLANK(A805), "", XLOOKUP(C805, 'Fees &amp; Postage Table'!A:A, 'Fees &amp; Postage Table'!D:D, 0))</f>
        <v/>
      </c>
      <c r="H805">
        <f>IF(ISBLANK(A805), "", B805 - E805 - F805 - G805)</f>
        <v/>
      </c>
      <c r="I805">
        <f>IF(ISBLANK(A805), "", D805 - XLOOKUP(A805, Inventory!A:A, Inventory!H:H, TODAY()))</f>
        <v/>
      </c>
    </row>
    <row r="806">
      <c r="E806">
        <f>IF(ISBLANK(A806), "", XLOOKUP(A806, Inventory!A:A, Inventory!E:E, 0))</f>
        <v/>
      </c>
      <c r="F806">
        <f>IF(ISBLANK(A806), "", (B806 * XLOOKUP(C806, 'Fees &amp; Postage Table'!A:A, 'Fees &amp; Postage Table'!C:C, 0)) + XLOOKUP(C806, 'Fees &amp; Postage Table'!A:A, 'Fees &amp; Postage Table'!B:B, 0))</f>
        <v/>
      </c>
      <c r="G806">
        <f>IF(ISBLANK(A806), "", XLOOKUP(C806, 'Fees &amp; Postage Table'!A:A, 'Fees &amp; Postage Table'!D:D, 0))</f>
        <v/>
      </c>
      <c r="H806">
        <f>IF(ISBLANK(A806), "", B806 - E806 - F806 - G806)</f>
        <v/>
      </c>
      <c r="I806">
        <f>IF(ISBLANK(A806), "", D806 - XLOOKUP(A806, Inventory!A:A, Inventory!H:H, TODAY()))</f>
        <v/>
      </c>
    </row>
    <row r="807">
      <c r="E807">
        <f>IF(ISBLANK(A807), "", XLOOKUP(A807, Inventory!A:A, Inventory!E:E, 0))</f>
        <v/>
      </c>
      <c r="F807">
        <f>IF(ISBLANK(A807), "", (B807 * XLOOKUP(C807, 'Fees &amp; Postage Table'!A:A, 'Fees &amp; Postage Table'!C:C, 0)) + XLOOKUP(C807, 'Fees &amp; Postage Table'!A:A, 'Fees &amp; Postage Table'!B:B, 0))</f>
        <v/>
      </c>
      <c r="G807">
        <f>IF(ISBLANK(A807), "", XLOOKUP(C807, 'Fees &amp; Postage Table'!A:A, 'Fees &amp; Postage Table'!D:D, 0))</f>
        <v/>
      </c>
      <c r="H807">
        <f>IF(ISBLANK(A807), "", B807 - E807 - F807 - G807)</f>
        <v/>
      </c>
      <c r="I807">
        <f>IF(ISBLANK(A807), "", D807 - XLOOKUP(A807, Inventory!A:A, Inventory!H:H, TODAY()))</f>
        <v/>
      </c>
    </row>
    <row r="808">
      <c r="E808">
        <f>IF(ISBLANK(A808), "", XLOOKUP(A808, Inventory!A:A, Inventory!E:E, 0))</f>
        <v/>
      </c>
      <c r="F808">
        <f>IF(ISBLANK(A808), "", (B808 * XLOOKUP(C808, 'Fees &amp; Postage Table'!A:A, 'Fees &amp; Postage Table'!C:C, 0)) + XLOOKUP(C808, 'Fees &amp; Postage Table'!A:A, 'Fees &amp; Postage Table'!B:B, 0))</f>
        <v/>
      </c>
      <c r="G808">
        <f>IF(ISBLANK(A808), "", XLOOKUP(C808, 'Fees &amp; Postage Table'!A:A, 'Fees &amp; Postage Table'!D:D, 0))</f>
        <v/>
      </c>
      <c r="H808">
        <f>IF(ISBLANK(A808), "", B808 - E808 - F808 - G808)</f>
        <v/>
      </c>
      <c r="I808">
        <f>IF(ISBLANK(A808), "", D808 - XLOOKUP(A808, Inventory!A:A, Inventory!H:H, TODAY()))</f>
        <v/>
      </c>
    </row>
    <row r="809">
      <c r="E809">
        <f>IF(ISBLANK(A809), "", XLOOKUP(A809, Inventory!A:A, Inventory!E:E, 0))</f>
        <v/>
      </c>
      <c r="F809">
        <f>IF(ISBLANK(A809), "", (B809 * XLOOKUP(C809, 'Fees &amp; Postage Table'!A:A, 'Fees &amp; Postage Table'!C:C, 0)) + XLOOKUP(C809, 'Fees &amp; Postage Table'!A:A, 'Fees &amp; Postage Table'!B:B, 0))</f>
        <v/>
      </c>
      <c r="G809">
        <f>IF(ISBLANK(A809), "", XLOOKUP(C809, 'Fees &amp; Postage Table'!A:A, 'Fees &amp; Postage Table'!D:D, 0))</f>
        <v/>
      </c>
      <c r="H809">
        <f>IF(ISBLANK(A809), "", B809 - E809 - F809 - G809)</f>
        <v/>
      </c>
      <c r="I809">
        <f>IF(ISBLANK(A809), "", D809 - XLOOKUP(A809, Inventory!A:A, Inventory!H:H, TODAY()))</f>
        <v/>
      </c>
    </row>
    <row r="810">
      <c r="E810">
        <f>IF(ISBLANK(A810), "", XLOOKUP(A810, Inventory!A:A, Inventory!E:E, 0))</f>
        <v/>
      </c>
      <c r="F810">
        <f>IF(ISBLANK(A810), "", (B810 * XLOOKUP(C810, 'Fees &amp; Postage Table'!A:A, 'Fees &amp; Postage Table'!C:C, 0)) + XLOOKUP(C810, 'Fees &amp; Postage Table'!A:A, 'Fees &amp; Postage Table'!B:B, 0))</f>
        <v/>
      </c>
      <c r="G810">
        <f>IF(ISBLANK(A810), "", XLOOKUP(C810, 'Fees &amp; Postage Table'!A:A, 'Fees &amp; Postage Table'!D:D, 0))</f>
        <v/>
      </c>
      <c r="H810">
        <f>IF(ISBLANK(A810), "", B810 - E810 - F810 - G810)</f>
        <v/>
      </c>
      <c r="I810">
        <f>IF(ISBLANK(A810), "", D810 - XLOOKUP(A810, Inventory!A:A, Inventory!H:H, TODAY()))</f>
        <v/>
      </c>
    </row>
    <row r="811">
      <c r="E811">
        <f>IF(ISBLANK(A811), "", XLOOKUP(A811, Inventory!A:A, Inventory!E:E, 0))</f>
        <v/>
      </c>
      <c r="F811">
        <f>IF(ISBLANK(A811), "", (B811 * XLOOKUP(C811, 'Fees &amp; Postage Table'!A:A, 'Fees &amp; Postage Table'!C:C, 0)) + XLOOKUP(C811, 'Fees &amp; Postage Table'!A:A, 'Fees &amp; Postage Table'!B:B, 0))</f>
        <v/>
      </c>
      <c r="G811">
        <f>IF(ISBLANK(A811), "", XLOOKUP(C811, 'Fees &amp; Postage Table'!A:A, 'Fees &amp; Postage Table'!D:D, 0))</f>
        <v/>
      </c>
      <c r="H811">
        <f>IF(ISBLANK(A811), "", B811 - E811 - F811 - G811)</f>
        <v/>
      </c>
      <c r="I811">
        <f>IF(ISBLANK(A811), "", D811 - XLOOKUP(A811, Inventory!A:A, Inventory!H:H, TODAY()))</f>
        <v/>
      </c>
    </row>
    <row r="812">
      <c r="E812">
        <f>IF(ISBLANK(A812), "", XLOOKUP(A812, Inventory!A:A, Inventory!E:E, 0))</f>
        <v/>
      </c>
      <c r="F812">
        <f>IF(ISBLANK(A812), "", (B812 * XLOOKUP(C812, 'Fees &amp; Postage Table'!A:A, 'Fees &amp; Postage Table'!C:C, 0)) + XLOOKUP(C812, 'Fees &amp; Postage Table'!A:A, 'Fees &amp; Postage Table'!B:B, 0))</f>
        <v/>
      </c>
      <c r="G812">
        <f>IF(ISBLANK(A812), "", XLOOKUP(C812, 'Fees &amp; Postage Table'!A:A, 'Fees &amp; Postage Table'!D:D, 0))</f>
        <v/>
      </c>
      <c r="H812">
        <f>IF(ISBLANK(A812), "", B812 - E812 - F812 - G812)</f>
        <v/>
      </c>
      <c r="I812">
        <f>IF(ISBLANK(A812), "", D812 - XLOOKUP(A812, Inventory!A:A, Inventory!H:H, TODAY()))</f>
        <v/>
      </c>
    </row>
    <row r="813">
      <c r="E813">
        <f>IF(ISBLANK(A813), "", XLOOKUP(A813, Inventory!A:A, Inventory!E:E, 0))</f>
        <v/>
      </c>
      <c r="F813">
        <f>IF(ISBLANK(A813), "", (B813 * XLOOKUP(C813, 'Fees &amp; Postage Table'!A:A, 'Fees &amp; Postage Table'!C:C, 0)) + XLOOKUP(C813, 'Fees &amp; Postage Table'!A:A, 'Fees &amp; Postage Table'!B:B, 0))</f>
        <v/>
      </c>
      <c r="G813">
        <f>IF(ISBLANK(A813), "", XLOOKUP(C813, 'Fees &amp; Postage Table'!A:A, 'Fees &amp; Postage Table'!D:D, 0))</f>
        <v/>
      </c>
      <c r="H813">
        <f>IF(ISBLANK(A813), "", B813 - E813 - F813 - G813)</f>
        <v/>
      </c>
      <c r="I813">
        <f>IF(ISBLANK(A813), "", D813 - XLOOKUP(A813, Inventory!A:A, Inventory!H:H, TODAY()))</f>
        <v/>
      </c>
    </row>
    <row r="814">
      <c r="E814">
        <f>IF(ISBLANK(A814), "", XLOOKUP(A814, Inventory!A:A, Inventory!E:E, 0))</f>
        <v/>
      </c>
      <c r="F814">
        <f>IF(ISBLANK(A814), "", (B814 * XLOOKUP(C814, 'Fees &amp; Postage Table'!A:A, 'Fees &amp; Postage Table'!C:C, 0)) + XLOOKUP(C814, 'Fees &amp; Postage Table'!A:A, 'Fees &amp; Postage Table'!B:B, 0))</f>
        <v/>
      </c>
      <c r="G814">
        <f>IF(ISBLANK(A814), "", XLOOKUP(C814, 'Fees &amp; Postage Table'!A:A, 'Fees &amp; Postage Table'!D:D, 0))</f>
        <v/>
      </c>
      <c r="H814">
        <f>IF(ISBLANK(A814), "", B814 - E814 - F814 - G814)</f>
        <v/>
      </c>
      <c r="I814">
        <f>IF(ISBLANK(A814), "", D814 - XLOOKUP(A814, Inventory!A:A, Inventory!H:H, TODAY()))</f>
        <v/>
      </c>
    </row>
    <row r="815">
      <c r="E815">
        <f>IF(ISBLANK(A815), "", XLOOKUP(A815, Inventory!A:A, Inventory!E:E, 0))</f>
        <v/>
      </c>
      <c r="F815">
        <f>IF(ISBLANK(A815), "", (B815 * XLOOKUP(C815, 'Fees &amp; Postage Table'!A:A, 'Fees &amp; Postage Table'!C:C, 0)) + XLOOKUP(C815, 'Fees &amp; Postage Table'!A:A, 'Fees &amp; Postage Table'!B:B, 0))</f>
        <v/>
      </c>
      <c r="G815">
        <f>IF(ISBLANK(A815), "", XLOOKUP(C815, 'Fees &amp; Postage Table'!A:A, 'Fees &amp; Postage Table'!D:D, 0))</f>
        <v/>
      </c>
      <c r="H815">
        <f>IF(ISBLANK(A815), "", B815 - E815 - F815 - G815)</f>
        <v/>
      </c>
      <c r="I815">
        <f>IF(ISBLANK(A815), "", D815 - XLOOKUP(A815, Inventory!A:A, Inventory!H:H, TODAY()))</f>
        <v/>
      </c>
    </row>
    <row r="816">
      <c r="E816">
        <f>IF(ISBLANK(A816), "", XLOOKUP(A816, Inventory!A:A, Inventory!E:E, 0))</f>
        <v/>
      </c>
      <c r="F816">
        <f>IF(ISBLANK(A816), "", (B816 * XLOOKUP(C816, 'Fees &amp; Postage Table'!A:A, 'Fees &amp; Postage Table'!C:C, 0)) + XLOOKUP(C816, 'Fees &amp; Postage Table'!A:A, 'Fees &amp; Postage Table'!B:B, 0))</f>
        <v/>
      </c>
      <c r="G816">
        <f>IF(ISBLANK(A816), "", XLOOKUP(C816, 'Fees &amp; Postage Table'!A:A, 'Fees &amp; Postage Table'!D:D, 0))</f>
        <v/>
      </c>
      <c r="H816">
        <f>IF(ISBLANK(A816), "", B816 - E816 - F816 - G816)</f>
        <v/>
      </c>
      <c r="I816">
        <f>IF(ISBLANK(A816), "", D816 - XLOOKUP(A816, Inventory!A:A, Inventory!H:H, TODAY()))</f>
        <v/>
      </c>
    </row>
    <row r="817">
      <c r="E817">
        <f>IF(ISBLANK(A817), "", XLOOKUP(A817, Inventory!A:A, Inventory!E:E, 0))</f>
        <v/>
      </c>
      <c r="F817">
        <f>IF(ISBLANK(A817), "", (B817 * XLOOKUP(C817, 'Fees &amp; Postage Table'!A:A, 'Fees &amp; Postage Table'!C:C, 0)) + XLOOKUP(C817, 'Fees &amp; Postage Table'!A:A, 'Fees &amp; Postage Table'!B:B, 0))</f>
        <v/>
      </c>
      <c r="G817">
        <f>IF(ISBLANK(A817), "", XLOOKUP(C817, 'Fees &amp; Postage Table'!A:A, 'Fees &amp; Postage Table'!D:D, 0))</f>
        <v/>
      </c>
      <c r="H817">
        <f>IF(ISBLANK(A817), "", B817 - E817 - F817 - G817)</f>
        <v/>
      </c>
      <c r="I817">
        <f>IF(ISBLANK(A817), "", D817 - XLOOKUP(A817, Inventory!A:A, Inventory!H:H, TODAY()))</f>
        <v/>
      </c>
    </row>
    <row r="818">
      <c r="E818">
        <f>IF(ISBLANK(A818), "", XLOOKUP(A818, Inventory!A:A, Inventory!E:E, 0))</f>
        <v/>
      </c>
      <c r="F818">
        <f>IF(ISBLANK(A818), "", (B818 * XLOOKUP(C818, 'Fees &amp; Postage Table'!A:A, 'Fees &amp; Postage Table'!C:C, 0)) + XLOOKUP(C818, 'Fees &amp; Postage Table'!A:A, 'Fees &amp; Postage Table'!B:B, 0))</f>
        <v/>
      </c>
      <c r="G818">
        <f>IF(ISBLANK(A818), "", XLOOKUP(C818, 'Fees &amp; Postage Table'!A:A, 'Fees &amp; Postage Table'!D:D, 0))</f>
        <v/>
      </c>
      <c r="H818">
        <f>IF(ISBLANK(A818), "", B818 - E818 - F818 - G818)</f>
        <v/>
      </c>
      <c r="I818">
        <f>IF(ISBLANK(A818), "", D818 - XLOOKUP(A818, Inventory!A:A, Inventory!H:H, TODAY()))</f>
        <v/>
      </c>
    </row>
    <row r="819">
      <c r="E819">
        <f>IF(ISBLANK(A819), "", XLOOKUP(A819, Inventory!A:A, Inventory!E:E, 0))</f>
        <v/>
      </c>
      <c r="F819">
        <f>IF(ISBLANK(A819), "", (B819 * XLOOKUP(C819, 'Fees &amp; Postage Table'!A:A, 'Fees &amp; Postage Table'!C:C, 0)) + XLOOKUP(C819, 'Fees &amp; Postage Table'!A:A, 'Fees &amp; Postage Table'!B:B, 0))</f>
        <v/>
      </c>
      <c r="G819">
        <f>IF(ISBLANK(A819), "", XLOOKUP(C819, 'Fees &amp; Postage Table'!A:A, 'Fees &amp; Postage Table'!D:D, 0))</f>
        <v/>
      </c>
      <c r="H819">
        <f>IF(ISBLANK(A819), "", B819 - E819 - F819 - G819)</f>
        <v/>
      </c>
      <c r="I819">
        <f>IF(ISBLANK(A819), "", D819 - XLOOKUP(A819, Inventory!A:A, Inventory!H:H, TODAY()))</f>
        <v/>
      </c>
    </row>
    <row r="820">
      <c r="E820">
        <f>IF(ISBLANK(A820), "", XLOOKUP(A820, Inventory!A:A, Inventory!E:E, 0))</f>
        <v/>
      </c>
      <c r="F820">
        <f>IF(ISBLANK(A820), "", (B820 * XLOOKUP(C820, 'Fees &amp; Postage Table'!A:A, 'Fees &amp; Postage Table'!C:C, 0)) + XLOOKUP(C820, 'Fees &amp; Postage Table'!A:A, 'Fees &amp; Postage Table'!B:B, 0))</f>
        <v/>
      </c>
      <c r="G820">
        <f>IF(ISBLANK(A820), "", XLOOKUP(C820, 'Fees &amp; Postage Table'!A:A, 'Fees &amp; Postage Table'!D:D, 0))</f>
        <v/>
      </c>
      <c r="H820">
        <f>IF(ISBLANK(A820), "", B820 - E820 - F820 - G820)</f>
        <v/>
      </c>
      <c r="I820">
        <f>IF(ISBLANK(A820), "", D820 - XLOOKUP(A820, Inventory!A:A, Inventory!H:H, TODAY()))</f>
        <v/>
      </c>
    </row>
    <row r="821">
      <c r="E821">
        <f>IF(ISBLANK(A821), "", XLOOKUP(A821, Inventory!A:A, Inventory!E:E, 0))</f>
        <v/>
      </c>
      <c r="F821">
        <f>IF(ISBLANK(A821), "", (B821 * XLOOKUP(C821, 'Fees &amp; Postage Table'!A:A, 'Fees &amp; Postage Table'!C:C, 0)) + XLOOKUP(C821, 'Fees &amp; Postage Table'!A:A, 'Fees &amp; Postage Table'!B:B, 0))</f>
        <v/>
      </c>
      <c r="G821">
        <f>IF(ISBLANK(A821), "", XLOOKUP(C821, 'Fees &amp; Postage Table'!A:A, 'Fees &amp; Postage Table'!D:D, 0))</f>
        <v/>
      </c>
      <c r="H821">
        <f>IF(ISBLANK(A821), "", B821 - E821 - F821 - G821)</f>
        <v/>
      </c>
      <c r="I821">
        <f>IF(ISBLANK(A821), "", D821 - XLOOKUP(A821, Inventory!A:A, Inventory!H:H, TODAY()))</f>
        <v/>
      </c>
    </row>
    <row r="822">
      <c r="E822">
        <f>IF(ISBLANK(A822), "", XLOOKUP(A822, Inventory!A:A, Inventory!E:E, 0))</f>
        <v/>
      </c>
      <c r="F822">
        <f>IF(ISBLANK(A822), "", (B822 * XLOOKUP(C822, 'Fees &amp; Postage Table'!A:A, 'Fees &amp; Postage Table'!C:C, 0)) + XLOOKUP(C822, 'Fees &amp; Postage Table'!A:A, 'Fees &amp; Postage Table'!B:B, 0))</f>
        <v/>
      </c>
      <c r="G822">
        <f>IF(ISBLANK(A822), "", XLOOKUP(C822, 'Fees &amp; Postage Table'!A:A, 'Fees &amp; Postage Table'!D:D, 0))</f>
        <v/>
      </c>
      <c r="H822">
        <f>IF(ISBLANK(A822), "", B822 - E822 - F822 - G822)</f>
        <v/>
      </c>
      <c r="I822">
        <f>IF(ISBLANK(A822), "", D822 - XLOOKUP(A822, Inventory!A:A, Inventory!H:H, TODAY()))</f>
        <v/>
      </c>
    </row>
    <row r="823">
      <c r="E823">
        <f>IF(ISBLANK(A823), "", XLOOKUP(A823, Inventory!A:A, Inventory!E:E, 0))</f>
        <v/>
      </c>
      <c r="F823">
        <f>IF(ISBLANK(A823), "", (B823 * XLOOKUP(C823, 'Fees &amp; Postage Table'!A:A, 'Fees &amp; Postage Table'!C:C, 0)) + XLOOKUP(C823, 'Fees &amp; Postage Table'!A:A, 'Fees &amp; Postage Table'!B:B, 0))</f>
        <v/>
      </c>
      <c r="G823">
        <f>IF(ISBLANK(A823), "", XLOOKUP(C823, 'Fees &amp; Postage Table'!A:A, 'Fees &amp; Postage Table'!D:D, 0))</f>
        <v/>
      </c>
      <c r="H823">
        <f>IF(ISBLANK(A823), "", B823 - E823 - F823 - G823)</f>
        <v/>
      </c>
      <c r="I823">
        <f>IF(ISBLANK(A823), "", D823 - XLOOKUP(A823, Inventory!A:A, Inventory!H:H, TODAY()))</f>
        <v/>
      </c>
    </row>
    <row r="824">
      <c r="E824">
        <f>IF(ISBLANK(A824), "", XLOOKUP(A824, Inventory!A:A, Inventory!E:E, 0))</f>
        <v/>
      </c>
      <c r="F824">
        <f>IF(ISBLANK(A824), "", (B824 * XLOOKUP(C824, 'Fees &amp; Postage Table'!A:A, 'Fees &amp; Postage Table'!C:C, 0)) + XLOOKUP(C824, 'Fees &amp; Postage Table'!A:A, 'Fees &amp; Postage Table'!B:B, 0))</f>
        <v/>
      </c>
      <c r="G824">
        <f>IF(ISBLANK(A824), "", XLOOKUP(C824, 'Fees &amp; Postage Table'!A:A, 'Fees &amp; Postage Table'!D:D, 0))</f>
        <v/>
      </c>
      <c r="H824">
        <f>IF(ISBLANK(A824), "", B824 - E824 - F824 - G824)</f>
        <v/>
      </c>
      <c r="I824">
        <f>IF(ISBLANK(A824), "", D824 - XLOOKUP(A824, Inventory!A:A, Inventory!H:H, TODAY()))</f>
        <v/>
      </c>
    </row>
    <row r="825">
      <c r="E825">
        <f>IF(ISBLANK(A825), "", XLOOKUP(A825, Inventory!A:A, Inventory!E:E, 0))</f>
        <v/>
      </c>
      <c r="F825">
        <f>IF(ISBLANK(A825), "", (B825 * XLOOKUP(C825, 'Fees &amp; Postage Table'!A:A, 'Fees &amp; Postage Table'!C:C, 0)) + XLOOKUP(C825, 'Fees &amp; Postage Table'!A:A, 'Fees &amp; Postage Table'!B:B, 0))</f>
        <v/>
      </c>
      <c r="G825">
        <f>IF(ISBLANK(A825), "", XLOOKUP(C825, 'Fees &amp; Postage Table'!A:A, 'Fees &amp; Postage Table'!D:D, 0))</f>
        <v/>
      </c>
      <c r="H825">
        <f>IF(ISBLANK(A825), "", B825 - E825 - F825 - G825)</f>
        <v/>
      </c>
      <c r="I825">
        <f>IF(ISBLANK(A825), "", D825 - XLOOKUP(A825, Inventory!A:A, Inventory!H:H, TODAY()))</f>
        <v/>
      </c>
    </row>
    <row r="826">
      <c r="E826">
        <f>IF(ISBLANK(A826), "", XLOOKUP(A826, Inventory!A:A, Inventory!E:E, 0))</f>
        <v/>
      </c>
      <c r="F826">
        <f>IF(ISBLANK(A826), "", (B826 * XLOOKUP(C826, 'Fees &amp; Postage Table'!A:A, 'Fees &amp; Postage Table'!C:C, 0)) + XLOOKUP(C826, 'Fees &amp; Postage Table'!A:A, 'Fees &amp; Postage Table'!B:B, 0))</f>
        <v/>
      </c>
      <c r="G826">
        <f>IF(ISBLANK(A826), "", XLOOKUP(C826, 'Fees &amp; Postage Table'!A:A, 'Fees &amp; Postage Table'!D:D, 0))</f>
        <v/>
      </c>
      <c r="H826">
        <f>IF(ISBLANK(A826), "", B826 - E826 - F826 - G826)</f>
        <v/>
      </c>
      <c r="I826">
        <f>IF(ISBLANK(A826), "", D826 - XLOOKUP(A826, Inventory!A:A, Inventory!H:H, TODAY()))</f>
        <v/>
      </c>
    </row>
    <row r="827">
      <c r="E827">
        <f>IF(ISBLANK(A827), "", XLOOKUP(A827, Inventory!A:A, Inventory!E:E, 0))</f>
        <v/>
      </c>
      <c r="F827">
        <f>IF(ISBLANK(A827), "", (B827 * XLOOKUP(C827, 'Fees &amp; Postage Table'!A:A, 'Fees &amp; Postage Table'!C:C, 0)) + XLOOKUP(C827, 'Fees &amp; Postage Table'!A:A, 'Fees &amp; Postage Table'!B:B, 0))</f>
        <v/>
      </c>
      <c r="G827">
        <f>IF(ISBLANK(A827), "", XLOOKUP(C827, 'Fees &amp; Postage Table'!A:A, 'Fees &amp; Postage Table'!D:D, 0))</f>
        <v/>
      </c>
      <c r="H827">
        <f>IF(ISBLANK(A827), "", B827 - E827 - F827 - G827)</f>
        <v/>
      </c>
      <c r="I827">
        <f>IF(ISBLANK(A827), "", D827 - XLOOKUP(A827, Inventory!A:A, Inventory!H:H, TODAY()))</f>
        <v/>
      </c>
    </row>
    <row r="828">
      <c r="E828">
        <f>IF(ISBLANK(A828), "", XLOOKUP(A828, Inventory!A:A, Inventory!E:E, 0))</f>
        <v/>
      </c>
      <c r="F828">
        <f>IF(ISBLANK(A828), "", (B828 * XLOOKUP(C828, 'Fees &amp; Postage Table'!A:A, 'Fees &amp; Postage Table'!C:C, 0)) + XLOOKUP(C828, 'Fees &amp; Postage Table'!A:A, 'Fees &amp; Postage Table'!B:B, 0))</f>
        <v/>
      </c>
      <c r="G828">
        <f>IF(ISBLANK(A828), "", XLOOKUP(C828, 'Fees &amp; Postage Table'!A:A, 'Fees &amp; Postage Table'!D:D, 0))</f>
        <v/>
      </c>
      <c r="H828">
        <f>IF(ISBLANK(A828), "", B828 - E828 - F828 - G828)</f>
        <v/>
      </c>
      <c r="I828">
        <f>IF(ISBLANK(A828), "", D828 - XLOOKUP(A828, Inventory!A:A, Inventory!H:H, TODAY()))</f>
        <v/>
      </c>
    </row>
    <row r="829">
      <c r="E829">
        <f>IF(ISBLANK(A829), "", XLOOKUP(A829, Inventory!A:A, Inventory!E:E, 0))</f>
        <v/>
      </c>
      <c r="F829">
        <f>IF(ISBLANK(A829), "", (B829 * XLOOKUP(C829, 'Fees &amp; Postage Table'!A:A, 'Fees &amp; Postage Table'!C:C, 0)) + XLOOKUP(C829, 'Fees &amp; Postage Table'!A:A, 'Fees &amp; Postage Table'!B:B, 0))</f>
        <v/>
      </c>
      <c r="G829">
        <f>IF(ISBLANK(A829), "", XLOOKUP(C829, 'Fees &amp; Postage Table'!A:A, 'Fees &amp; Postage Table'!D:D, 0))</f>
        <v/>
      </c>
      <c r="H829">
        <f>IF(ISBLANK(A829), "", B829 - E829 - F829 - G829)</f>
        <v/>
      </c>
      <c r="I829">
        <f>IF(ISBLANK(A829), "", D829 - XLOOKUP(A829, Inventory!A:A, Inventory!H:H, TODAY()))</f>
        <v/>
      </c>
    </row>
    <row r="830">
      <c r="E830">
        <f>IF(ISBLANK(A830), "", XLOOKUP(A830, Inventory!A:A, Inventory!E:E, 0))</f>
        <v/>
      </c>
      <c r="F830">
        <f>IF(ISBLANK(A830), "", (B830 * XLOOKUP(C830, 'Fees &amp; Postage Table'!A:A, 'Fees &amp; Postage Table'!C:C, 0)) + XLOOKUP(C830, 'Fees &amp; Postage Table'!A:A, 'Fees &amp; Postage Table'!B:B, 0))</f>
        <v/>
      </c>
      <c r="G830">
        <f>IF(ISBLANK(A830), "", XLOOKUP(C830, 'Fees &amp; Postage Table'!A:A, 'Fees &amp; Postage Table'!D:D, 0))</f>
        <v/>
      </c>
      <c r="H830">
        <f>IF(ISBLANK(A830), "", B830 - E830 - F830 - G830)</f>
        <v/>
      </c>
      <c r="I830">
        <f>IF(ISBLANK(A830), "", D830 - XLOOKUP(A830, Inventory!A:A, Inventory!H:H, TODAY()))</f>
        <v/>
      </c>
    </row>
    <row r="831">
      <c r="E831">
        <f>IF(ISBLANK(A831), "", XLOOKUP(A831, Inventory!A:A, Inventory!E:E, 0))</f>
        <v/>
      </c>
      <c r="F831">
        <f>IF(ISBLANK(A831), "", (B831 * XLOOKUP(C831, 'Fees &amp; Postage Table'!A:A, 'Fees &amp; Postage Table'!C:C, 0)) + XLOOKUP(C831, 'Fees &amp; Postage Table'!A:A, 'Fees &amp; Postage Table'!B:B, 0))</f>
        <v/>
      </c>
      <c r="G831">
        <f>IF(ISBLANK(A831), "", XLOOKUP(C831, 'Fees &amp; Postage Table'!A:A, 'Fees &amp; Postage Table'!D:D, 0))</f>
        <v/>
      </c>
      <c r="H831">
        <f>IF(ISBLANK(A831), "", B831 - E831 - F831 - G831)</f>
        <v/>
      </c>
      <c r="I831">
        <f>IF(ISBLANK(A831), "", D831 - XLOOKUP(A831, Inventory!A:A, Inventory!H:H, TODAY()))</f>
        <v/>
      </c>
    </row>
    <row r="832">
      <c r="E832">
        <f>IF(ISBLANK(A832), "", XLOOKUP(A832, Inventory!A:A, Inventory!E:E, 0))</f>
        <v/>
      </c>
      <c r="F832">
        <f>IF(ISBLANK(A832), "", (B832 * XLOOKUP(C832, 'Fees &amp; Postage Table'!A:A, 'Fees &amp; Postage Table'!C:C, 0)) + XLOOKUP(C832, 'Fees &amp; Postage Table'!A:A, 'Fees &amp; Postage Table'!B:B, 0))</f>
        <v/>
      </c>
      <c r="G832">
        <f>IF(ISBLANK(A832), "", XLOOKUP(C832, 'Fees &amp; Postage Table'!A:A, 'Fees &amp; Postage Table'!D:D, 0))</f>
        <v/>
      </c>
      <c r="H832">
        <f>IF(ISBLANK(A832), "", B832 - E832 - F832 - G832)</f>
        <v/>
      </c>
      <c r="I832">
        <f>IF(ISBLANK(A832), "", D832 - XLOOKUP(A832, Inventory!A:A, Inventory!H:H, TODAY()))</f>
        <v/>
      </c>
    </row>
    <row r="833">
      <c r="E833">
        <f>IF(ISBLANK(A833), "", XLOOKUP(A833, Inventory!A:A, Inventory!E:E, 0))</f>
        <v/>
      </c>
      <c r="F833">
        <f>IF(ISBLANK(A833), "", (B833 * XLOOKUP(C833, 'Fees &amp; Postage Table'!A:A, 'Fees &amp; Postage Table'!C:C, 0)) + XLOOKUP(C833, 'Fees &amp; Postage Table'!A:A, 'Fees &amp; Postage Table'!B:B, 0))</f>
        <v/>
      </c>
      <c r="G833">
        <f>IF(ISBLANK(A833), "", XLOOKUP(C833, 'Fees &amp; Postage Table'!A:A, 'Fees &amp; Postage Table'!D:D, 0))</f>
        <v/>
      </c>
      <c r="H833">
        <f>IF(ISBLANK(A833), "", B833 - E833 - F833 - G833)</f>
        <v/>
      </c>
      <c r="I833">
        <f>IF(ISBLANK(A833), "", D833 - XLOOKUP(A833, Inventory!A:A, Inventory!H:H, TODAY()))</f>
        <v/>
      </c>
    </row>
    <row r="834">
      <c r="E834">
        <f>IF(ISBLANK(A834), "", XLOOKUP(A834, Inventory!A:A, Inventory!E:E, 0))</f>
        <v/>
      </c>
      <c r="F834">
        <f>IF(ISBLANK(A834), "", (B834 * XLOOKUP(C834, 'Fees &amp; Postage Table'!A:A, 'Fees &amp; Postage Table'!C:C, 0)) + XLOOKUP(C834, 'Fees &amp; Postage Table'!A:A, 'Fees &amp; Postage Table'!B:B, 0))</f>
        <v/>
      </c>
      <c r="G834">
        <f>IF(ISBLANK(A834), "", XLOOKUP(C834, 'Fees &amp; Postage Table'!A:A, 'Fees &amp; Postage Table'!D:D, 0))</f>
        <v/>
      </c>
      <c r="H834">
        <f>IF(ISBLANK(A834), "", B834 - E834 - F834 - G834)</f>
        <v/>
      </c>
      <c r="I834">
        <f>IF(ISBLANK(A834), "", D834 - XLOOKUP(A834, Inventory!A:A, Inventory!H:H, TODAY()))</f>
        <v/>
      </c>
    </row>
    <row r="835">
      <c r="E835">
        <f>IF(ISBLANK(A835), "", XLOOKUP(A835, Inventory!A:A, Inventory!E:E, 0))</f>
        <v/>
      </c>
      <c r="F835">
        <f>IF(ISBLANK(A835), "", (B835 * XLOOKUP(C835, 'Fees &amp; Postage Table'!A:A, 'Fees &amp; Postage Table'!C:C, 0)) + XLOOKUP(C835, 'Fees &amp; Postage Table'!A:A, 'Fees &amp; Postage Table'!B:B, 0))</f>
        <v/>
      </c>
      <c r="G835">
        <f>IF(ISBLANK(A835), "", XLOOKUP(C835, 'Fees &amp; Postage Table'!A:A, 'Fees &amp; Postage Table'!D:D, 0))</f>
        <v/>
      </c>
      <c r="H835">
        <f>IF(ISBLANK(A835), "", B835 - E835 - F835 - G835)</f>
        <v/>
      </c>
      <c r="I835">
        <f>IF(ISBLANK(A835), "", D835 - XLOOKUP(A835, Inventory!A:A, Inventory!H:H, TODAY()))</f>
        <v/>
      </c>
    </row>
    <row r="836">
      <c r="E836">
        <f>IF(ISBLANK(A836), "", XLOOKUP(A836, Inventory!A:A, Inventory!E:E, 0))</f>
        <v/>
      </c>
      <c r="F836">
        <f>IF(ISBLANK(A836), "", (B836 * XLOOKUP(C836, 'Fees &amp; Postage Table'!A:A, 'Fees &amp; Postage Table'!C:C, 0)) + XLOOKUP(C836, 'Fees &amp; Postage Table'!A:A, 'Fees &amp; Postage Table'!B:B, 0))</f>
        <v/>
      </c>
      <c r="G836">
        <f>IF(ISBLANK(A836), "", XLOOKUP(C836, 'Fees &amp; Postage Table'!A:A, 'Fees &amp; Postage Table'!D:D, 0))</f>
        <v/>
      </c>
      <c r="H836">
        <f>IF(ISBLANK(A836), "", B836 - E836 - F836 - G836)</f>
        <v/>
      </c>
      <c r="I836">
        <f>IF(ISBLANK(A836), "", D836 - XLOOKUP(A836, Inventory!A:A, Inventory!H:H, TODAY()))</f>
        <v/>
      </c>
    </row>
    <row r="837">
      <c r="E837">
        <f>IF(ISBLANK(A837), "", XLOOKUP(A837, Inventory!A:A, Inventory!E:E, 0))</f>
        <v/>
      </c>
      <c r="F837">
        <f>IF(ISBLANK(A837), "", (B837 * XLOOKUP(C837, 'Fees &amp; Postage Table'!A:A, 'Fees &amp; Postage Table'!C:C, 0)) + XLOOKUP(C837, 'Fees &amp; Postage Table'!A:A, 'Fees &amp; Postage Table'!B:B, 0))</f>
        <v/>
      </c>
      <c r="G837">
        <f>IF(ISBLANK(A837), "", XLOOKUP(C837, 'Fees &amp; Postage Table'!A:A, 'Fees &amp; Postage Table'!D:D, 0))</f>
        <v/>
      </c>
      <c r="H837">
        <f>IF(ISBLANK(A837), "", B837 - E837 - F837 - G837)</f>
        <v/>
      </c>
      <c r="I837">
        <f>IF(ISBLANK(A837), "", D837 - XLOOKUP(A837, Inventory!A:A, Inventory!H:H, TODAY()))</f>
        <v/>
      </c>
    </row>
    <row r="838">
      <c r="E838">
        <f>IF(ISBLANK(A838), "", XLOOKUP(A838, Inventory!A:A, Inventory!E:E, 0))</f>
        <v/>
      </c>
      <c r="F838">
        <f>IF(ISBLANK(A838), "", (B838 * XLOOKUP(C838, 'Fees &amp; Postage Table'!A:A, 'Fees &amp; Postage Table'!C:C, 0)) + XLOOKUP(C838, 'Fees &amp; Postage Table'!A:A, 'Fees &amp; Postage Table'!B:B, 0))</f>
        <v/>
      </c>
      <c r="G838">
        <f>IF(ISBLANK(A838), "", XLOOKUP(C838, 'Fees &amp; Postage Table'!A:A, 'Fees &amp; Postage Table'!D:D, 0))</f>
        <v/>
      </c>
      <c r="H838">
        <f>IF(ISBLANK(A838), "", B838 - E838 - F838 - G838)</f>
        <v/>
      </c>
      <c r="I838">
        <f>IF(ISBLANK(A838), "", D838 - XLOOKUP(A838, Inventory!A:A, Inventory!H:H, TODAY()))</f>
        <v/>
      </c>
    </row>
    <row r="839">
      <c r="E839">
        <f>IF(ISBLANK(A839), "", XLOOKUP(A839, Inventory!A:A, Inventory!E:E, 0))</f>
        <v/>
      </c>
      <c r="F839">
        <f>IF(ISBLANK(A839), "", (B839 * XLOOKUP(C839, 'Fees &amp; Postage Table'!A:A, 'Fees &amp; Postage Table'!C:C, 0)) + XLOOKUP(C839, 'Fees &amp; Postage Table'!A:A, 'Fees &amp; Postage Table'!B:B, 0))</f>
        <v/>
      </c>
      <c r="G839">
        <f>IF(ISBLANK(A839), "", XLOOKUP(C839, 'Fees &amp; Postage Table'!A:A, 'Fees &amp; Postage Table'!D:D, 0))</f>
        <v/>
      </c>
      <c r="H839">
        <f>IF(ISBLANK(A839), "", B839 - E839 - F839 - G839)</f>
        <v/>
      </c>
      <c r="I839">
        <f>IF(ISBLANK(A839), "", D839 - XLOOKUP(A839, Inventory!A:A, Inventory!H:H, TODAY()))</f>
        <v/>
      </c>
    </row>
    <row r="840">
      <c r="E840">
        <f>IF(ISBLANK(A840), "", XLOOKUP(A840, Inventory!A:A, Inventory!E:E, 0))</f>
        <v/>
      </c>
      <c r="F840">
        <f>IF(ISBLANK(A840), "", (B840 * XLOOKUP(C840, 'Fees &amp; Postage Table'!A:A, 'Fees &amp; Postage Table'!C:C, 0)) + XLOOKUP(C840, 'Fees &amp; Postage Table'!A:A, 'Fees &amp; Postage Table'!B:B, 0))</f>
        <v/>
      </c>
      <c r="G840">
        <f>IF(ISBLANK(A840), "", XLOOKUP(C840, 'Fees &amp; Postage Table'!A:A, 'Fees &amp; Postage Table'!D:D, 0))</f>
        <v/>
      </c>
      <c r="H840">
        <f>IF(ISBLANK(A840), "", B840 - E840 - F840 - G840)</f>
        <v/>
      </c>
      <c r="I840">
        <f>IF(ISBLANK(A840), "", D840 - XLOOKUP(A840, Inventory!A:A, Inventory!H:H, TODAY()))</f>
        <v/>
      </c>
    </row>
    <row r="841">
      <c r="E841">
        <f>IF(ISBLANK(A841), "", XLOOKUP(A841, Inventory!A:A, Inventory!E:E, 0))</f>
        <v/>
      </c>
      <c r="F841">
        <f>IF(ISBLANK(A841), "", (B841 * XLOOKUP(C841, 'Fees &amp; Postage Table'!A:A, 'Fees &amp; Postage Table'!C:C, 0)) + XLOOKUP(C841, 'Fees &amp; Postage Table'!A:A, 'Fees &amp; Postage Table'!B:B, 0))</f>
        <v/>
      </c>
      <c r="G841">
        <f>IF(ISBLANK(A841), "", XLOOKUP(C841, 'Fees &amp; Postage Table'!A:A, 'Fees &amp; Postage Table'!D:D, 0))</f>
        <v/>
      </c>
      <c r="H841">
        <f>IF(ISBLANK(A841), "", B841 - E841 - F841 - G841)</f>
        <v/>
      </c>
      <c r="I841">
        <f>IF(ISBLANK(A841), "", D841 - XLOOKUP(A841, Inventory!A:A, Inventory!H:H, TODAY()))</f>
        <v/>
      </c>
    </row>
    <row r="842">
      <c r="E842">
        <f>IF(ISBLANK(A842), "", XLOOKUP(A842, Inventory!A:A, Inventory!E:E, 0))</f>
        <v/>
      </c>
      <c r="F842">
        <f>IF(ISBLANK(A842), "", (B842 * XLOOKUP(C842, 'Fees &amp; Postage Table'!A:A, 'Fees &amp; Postage Table'!C:C, 0)) + XLOOKUP(C842, 'Fees &amp; Postage Table'!A:A, 'Fees &amp; Postage Table'!B:B, 0))</f>
        <v/>
      </c>
      <c r="G842">
        <f>IF(ISBLANK(A842), "", XLOOKUP(C842, 'Fees &amp; Postage Table'!A:A, 'Fees &amp; Postage Table'!D:D, 0))</f>
        <v/>
      </c>
      <c r="H842">
        <f>IF(ISBLANK(A842), "", B842 - E842 - F842 - G842)</f>
        <v/>
      </c>
      <c r="I842">
        <f>IF(ISBLANK(A842), "", D842 - XLOOKUP(A842, Inventory!A:A, Inventory!H:H, TODAY()))</f>
        <v/>
      </c>
    </row>
    <row r="843">
      <c r="E843">
        <f>IF(ISBLANK(A843), "", XLOOKUP(A843, Inventory!A:A, Inventory!E:E, 0))</f>
        <v/>
      </c>
      <c r="F843">
        <f>IF(ISBLANK(A843), "", (B843 * XLOOKUP(C843, 'Fees &amp; Postage Table'!A:A, 'Fees &amp; Postage Table'!C:C, 0)) + XLOOKUP(C843, 'Fees &amp; Postage Table'!A:A, 'Fees &amp; Postage Table'!B:B, 0))</f>
        <v/>
      </c>
      <c r="G843">
        <f>IF(ISBLANK(A843), "", XLOOKUP(C843, 'Fees &amp; Postage Table'!A:A, 'Fees &amp; Postage Table'!D:D, 0))</f>
        <v/>
      </c>
      <c r="H843">
        <f>IF(ISBLANK(A843), "", B843 - E843 - F843 - G843)</f>
        <v/>
      </c>
      <c r="I843">
        <f>IF(ISBLANK(A843), "", D843 - XLOOKUP(A843, Inventory!A:A, Inventory!H:H, TODAY()))</f>
        <v/>
      </c>
    </row>
    <row r="844">
      <c r="E844">
        <f>IF(ISBLANK(A844), "", XLOOKUP(A844, Inventory!A:A, Inventory!E:E, 0))</f>
        <v/>
      </c>
      <c r="F844">
        <f>IF(ISBLANK(A844), "", (B844 * XLOOKUP(C844, 'Fees &amp; Postage Table'!A:A, 'Fees &amp; Postage Table'!C:C, 0)) + XLOOKUP(C844, 'Fees &amp; Postage Table'!A:A, 'Fees &amp; Postage Table'!B:B, 0))</f>
        <v/>
      </c>
      <c r="G844">
        <f>IF(ISBLANK(A844), "", XLOOKUP(C844, 'Fees &amp; Postage Table'!A:A, 'Fees &amp; Postage Table'!D:D, 0))</f>
        <v/>
      </c>
      <c r="H844">
        <f>IF(ISBLANK(A844), "", B844 - E844 - F844 - G844)</f>
        <v/>
      </c>
      <c r="I844">
        <f>IF(ISBLANK(A844), "", D844 - XLOOKUP(A844, Inventory!A:A, Inventory!H:H, TODAY()))</f>
        <v/>
      </c>
    </row>
    <row r="845">
      <c r="E845">
        <f>IF(ISBLANK(A845), "", XLOOKUP(A845, Inventory!A:A, Inventory!E:E, 0))</f>
        <v/>
      </c>
      <c r="F845">
        <f>IF(ISBLANK(A845), "", (B845 * XLOOKUP(C845, 'Fees &amp; Postage Table'!A:A, 'Fees &amp; Postage Table'!C:C, 0)) + XLOOKUP(C845, 'Fees &amp; Postage Table'!A:A, 'Fees &amp; Postage Table'!B:B, 0))</f>
        <v/>
      </c>
      <c r="G845">
        <f>IF(ISBLANK(A845), "", XLOOKUP(C845, 'Fees &amp; Postage Table'!A:A, 'Fees &amp; Postage Table'!D:D, 0))</f>
        <v/>
      </c>
      <c r="H845">
        <f>IF(ISBLANK(A845), "", B845 - E845 - F845 - G845)</f>
        <v/>
      </c>
      <c r="I845">
        <f>IF(ISBLANK(A845), "", D845 - XLOOKUP(A845, Inventory!A:A, Inventory!H:H, TODAY()))</f>
        <v/>
      </c>
    </row>
    <row r="846">
      <c r="E846">
        <f>IF(ISBLANK(A846), "", XLOOKUP(A846, Inventory!A:A, Inventory!E:E, 0))</f>
        <v/>
      </c>
      <c r="F846">
        <f>IF(ISBLANK(A846), "", (B846 * XLOOKUP(C846, 'Fees &amp; Postage Table'!A:A, 'Fees &amp; Postage Table'!C:C, 0)) + XLOOKUP(C846, 'Fees &amp; Postage Table'!A:A, 'Fees &amp; Postage Table'!B:B, 0))</f>
        <v/>
      </c>
      <c r="G846">
        <f>IF(ISBLANK(A846), "", XLOOKUP(C846, 'Fees &amp; Postage Table'!A:A, 'Fees &amp; Postage Table'!D:D, 0))</f>
        <v/>
      </c>
      <c r="H846">
        <f>IF(ISBLANK(A846), "", B846 - E846 - F846 - G846)</f>
        <v/>
      </c>
      <c r="I846">
        <f>IF(ISBLANK(A846), "", D846 - XLOOKUP(A846, Inventory!A:A, Inventory!H:H, TODAY()))</f>
        <v/>
      </c>
    </row>
    <row r="847">
      <c r="E847">
        <f>IF(ISBLANK(A847), "", XLOOKUP(A847, Inventory!A:A, Inventory!E:E, 0))</f>
        <v/>
      </c>
      <c r="F847">
        <f>IF(ISBLANK(A847), "", (B847 * XLOOKUP(C847, 'Fees &amp; Postage Table'!A:A, 'Fees &amp; Postage Table'!C:C, 0)) + XLOOKUP(C847, 'Fees &amp; Postage Table'!A:A, 'Fees &amp; Postage Table'!B:B, 0))</f>
        <v/>
      </c>
      <c r="G847">
        <f>IF(ISBLANK(A847), "", XLOOKUP(C847, 'Fees &amp; Postage Table'!A:A, 'Fees &amp; Postage Table'!D:D, 0))</f>
        <v/>
      </c>
      <c r="H847">
        <f>IF(ISBLANK(A847), "", B847 - E847 - F847 - G847)</f>
        <v/>
      </c>
      <c r="I847">
        <f>IF(ISBLANK(A847), "", D847 - XLOOKUP(A847, Inventory!A:A, Inventory!H:H, TODAY()))</f>
        <v/>
      </c>
    </row>
    <row r="848">
      <c r="E848">
        <f>IF(ISBLANK(A848), "", XLOOKUP(A848, Inventory!A:A, Inventory!E:E, 0))</f>
        <v/>
      </c>
      <c r="F848">
        <f>IF(ISBLANK(A848), "", (B848 * XLOOKUP(C848, 'Fees &amp; Postage Table'!A:A, 'Fees &amp; Postage Table'!C:C, 0)) + XLOOKUP(C848, 'Fees &amp; Postage Table'!A:A, 'Fees &amp; Postage Table'!B:B, 0))</f>
        <v/>
      </c>
      <c r="G848">
        <f>IF(ISBLANK(A848), "", XLOOKUP(C848, 'Fees &amp; Postage Table'!A:A, 'Fees &amp; Postage Table'!D:D, 0))</f>
        <v/>
      </c>
      <c r="H848">
        <f>IF(ISBLANK(A848), "", B848 - E848 - F848 - G848)</f>
        <v/>
      </c>
      <c r="I848">
        <f>IF(ISBLANK(A848), "", D848 - XLOOKUP(A848, Inventory!A:A, Inventory!H:H, TODAY()))</f>
        <v/>
      </c>
    </row>
    <row r="849">
      <c r="E849">
        <f>IF(ISBLANK(A849), "", XLOOKUP(A849, Inventory!A:A, Inventory!E:E, 0))</f>
        <v/>
      </c>
      <c r="F849">
        <f>IF(ISBLANK(A849), "", (B849 * XLOOKUP(C849, 'Fees &amp; Postage Table'!A:A, 'Fees &amp; Postage Table'!C:C, 0)) + XLOOKUP(C849, 'Fees &amp; Postage Table'!A:A, 'Fees &amp; Postage Table'!B:B, 0))</f>
        <v/>
      </c>
      <c r="G849">
        <f>IF(ISBLANK(A849), "", XLOOKUP(C849, 'Fees &amp; Postage Table'!A:A, 'Fees &amp; Postage Table'!D:D, 0))</f>
        <v/>
      </c>
      <c r="H849">
        <f>IF(ISBLANK(A849), "", B849 - E849 - F849 - G849)</f>
        <v/>
      </c>
      <c r="I849">
        <f>IF(ISBLANK(A849), "", D849 - XLOOKUP(A849, Inventory!A:A, Inventory!H:H, TODAY()))</f>
        <v/>
      </c>
    </row>
    <row r="850">
      <c r="E850">
        <f>IF(ISBLANK(A850), "", XLOOKUP(A850, Inventory!A:A, Inventory!E:E, 0))</f>
        <v/>
      </c>
      <c r="F850">
        <f>IF(ISBLANK(A850), "", (B850 * XLOOKUP(C850, 'Fees &amp; Postage Table'!A:A, 'Fees &amp; Postage Table'!C:C, 0)) + XLOOKUP(C850, 'Fees &amp; Postage Table'!A:A, 'Fees &amp; Postage Table'!B:B, 0))</f>
        <v/>
      </c>
      <c r="G850">
        <f>IF(ISBLANK(A850), "", XLOOKUP(C850, 'Fees &amp; Postage Table'!A:A, 'Fees &amp; Postage Table'!D:D, 0))</f>
        <v/>
      </c>
      <c r="H850">
        <f>IF(ISBLANK(A850), "", B850 - E850 - F850 - G850)</f>
        <v/>
      </c>
      <c r="I850">
        <f>IF(ISBLANK(A850), "", D850 - XLOOKUP(A850, Inventory!A:A, Inventory!H:H, TODAY()))</f>
        <v/>
      </c>
    </row>
    <row r="851">
      <c r="E851">
        <f>IF(ISBLANK(A851), "", XLOOKUP(A851, Inventory!A:A, Inventory!E:E, 0))</f>
        <v/>
      </c>
      <c r="F851">
        <f>IF(ISBLANK(A851), "", (B851 * XLOOKUP(C851, 'Fees &amp; Postage Table'!A:A, 'Fees &amp; Postage Table'!C:C, 0)) + XLOOKUP(C851, 'Fees &amp; Postage Table'!A:A, 'Fees &amp; Postage Table'!B:B, 0))</f>
        <v/>
      </c>
      <c r="G851">
        <f>IF(ISBLANK(A851), "", XLOOKUP(C851, 'Fees &amp; Postage Table'!A:A, 'Fees &amp; Postage Table'!D:D, 0))</f>
        <v/>
      </c>
      <c r="H851">
        <f>IF(ISBLANK(A851), "", B851 - E851 - F851 - G851)</f>
        <v/>
      </c>
      <c r="I851">
        <f>IF(ISBLANK(A851), "", D851 - XLOOKUP(A851, Inventory!A:A, Inventory!H:H, TODAY()))</f>
        <v/>
      </c>
    </row>
    <row r="852">
      <c r="E852">
        <f>IF(ISBLANK(A852), "", XLOOKUP(A852, Inventory!A:A, Inventory!E:E, 0))</f>
        <v/>
      </c>
      <c r="F852">
        <f>IF(ISBLANK(A852), "", (B852 * XLOOKUP(C852, 'Fees &amp; Postage Table'!A:A, 'Fees &amp; Postage Table'!C:C, 0)) + XLOOKUP(C852, 'Fees &amp; Postage Table'!A:A, 'Fees &amp; Postage Table'!B:B, 0))</f>
        <v/>
      </c>
      <c r="G852">
        <f>IF(ISBLANK(A852), "", XLOOKUP(C852, 'Fees &amp; Postage Table'!A:A, 'Fees &amp; Postage Table'!D:D, 0))</f>
        <v/>
      </c>
      <c r="H852">
        <f>IF(ISBLANK(A852), "", B852 - E852 - F852 - G852)</f>
        <v/>
      </c>
      <c r="I852">
        <f>IF(ISBLANK(A852), "", D852 - XLOOKUP(A852, Inventory!A:A, Inventory!H:H, TODAY()))</f>
        <v/>
      </c>
    </row>
    <row r="853">
      <c r="E853">
        <f>IF(ISBLANK(A853), "", XLOOKUP(A853, Inventory!A:A, Inventory!E:E, 0))</f>
        <v/>
      </c>
      <c r="F853">
        <f>IF(ISBLANK(A853), "", (B853 * XLOOKUP(C853, 'Fees &amp; Postage Table'!A:A, 'Fees &amp; Postage Table'!C:C, 0)) + XLOOKUP(C853, 'Fees &amp; Postage Table'!A:A, 'Fees &amp; Postage Table'!B:B, 0))</f>
        <v/>
      </c>
      <c r="G853">
        <f>IF(ISBLANK(A853), "", XLOOKUP(C853, 'Fees &amp; Postage Table'!A:A, 'Fees &amp; Postage Table'!D:D, 0))</f>
        <v/>
      </c>
      <c r="H853">
        <f>IF(ISBLANK(A853), "", B853 - E853 - F853 - G853)</f>
        <v/>
      </c>
      <c r="I853">
        <f>IF(ISBLANK(A853), "", D853 - XLOOKUP(A853, Inventory!A:A, Inventory!H:H, TODAY()))</f>
        <v/>
      </c>
    </row>
    <row r="854">
      <c r="E854">
        <f>IF(ISBLANK(A854), "", XLOOKUP(A854, Inventory!A:A, Inventory!E:E, 0))</f>
        <v/>
      </c>
      <c r="F854">
        <f>IF(ISBLANK(A854), "", (B854 * XLOOKUP(C854, 'Fees &amp; Postage Table'!A:A, 'Fees &amp; Postage Table'!C:C, 0)) + XLOOKUP(C854, 'Fees &amp; Postage Table'!A:A, 'Fees &amp; Postage Table'!B:B, 0))</f>
        <v/>
      </c>
      <c r="G854">
        <f>IF(ISBLANK(A854), "", XLOOKUP(C854, 'Fees &amp; Postage Table'!A:A, 'Fees &amp; Postage Table'!D:D, 0))</f>
        <v/>
      </c>
      <c r="H854">
        <f>IF(ISBLANK(A854), "", B854 - E854 - F854 - G854)</f>
        <v/>
      </c>
      <c r="I854">
        <f>IF(ISBLANK(A854), "", D854 - XLOOKUP(A854, Inventory!A:A, Inventory!H:H, TODAY()))</f>
        <v/>
      </c>
    </row>
    <row r="855">
      <c r="E855">
        <f>IF(ISBLANK(A855), "", XLOOKUP(A855, Inventory!A:A, Inventory!E:E, 0))</f>
        <v/>
      </c>
      <c r="F855">
        <f>IF(ISBLANK(A855), "", (B855 * XLOOKUP(C855, 'Fees &amp; Postage Table'!A:A, 'Fees &amp; Postage Table'!C:C, 0)) + XLOOKUP(C855, 'Fees &amp; Postage Table'!A:A, 'Fees &amp; Postage Table'!B:B, 0))</f>
        <v/>
      </c>
      <c r="G855">
        <f>IF(ISBLANK(A855), "", XLOOKUP(C855, 'Fees &amp; Postage Table'!A:A, 'Fees &amp; Postage Table'!D:D, 0))</f>
        <v/>
      </c>
      <c r="H855">
        <f>IF(ISBLANK(A855), "", B855 - E855 - F855 - G855)</f>
        <v/>
      </c>
      <c r="I855">
        <f>IF(ISBLANK(A855), "", D855 - XLOOKUP(A855, Inventory!A:A, Inventory!H:H, TODAY()))</f>
        <v/>
      </c>
    </row>
    <row r="856">
      <c r="E856">
        <f>IF(ISBLANK(A856), "", XLOOKUP(A856, Inventory!A:A, Inventory!E:E, 0))</f>
        <v/>
      </c>
      <c r="F856">
        <f>IF(ISBLANK(A856), "", (B856 * XLOOKUP(C856, 'Fees &amp; Postage Table'!A:A, 'Fees &amp; Postage Table'!C:C, 0)) + XLOOKUP(C856, 'Fees &amp; Postage Table'!A:A, 'Fees &amp; Postage Table'!B:B, 0))</f>
        <v/>
      </c>
      <c r="G856">
        <f>IF(ISBLANK(A856), "", XLOOKUP(C856, 'Fees &amp; Postage Table'!A:A, 'Fees &amp; Postage Table'!D:D, 0))</f>
        <v/>
      </c>
      <c r="H856">
        <f>IF(ISBLANK(A856), "", B856 - E856 - F856 - G856)</f>
        <v/>
      </c>
      <c r="I856">
        <f>IF(ISBLANK(A856), "", D856 - XLOOKUP(A856, Inventory!A:A, Inventory!H:H, TODAY()))</f>
        <v/>
      </c>
    </row>
    <row r="857">
      <c r="E857">
        <f>IF(ISBLANK(A857), "", XLOOKUP(A857, Inventory!A:A, Inventory!E:E, 0))</f>
        <v/>
      </c>
      <c r="F857">
        <f>IF(ISBLANK(A857), "", (B857 * XLOOKUP(C857, 'Fees &amp; Postage Table'!A:A, 'Fees &amp; Postage Table'!C:C, 0)) + XLOOKUP(C857, 'Fees &amp; Postage Table'!A:A, 'Fees &amp; Postage Table'!B:B, 0))</f>
        <v/>
      </c>
      <c r="G857">
        <f>IF(ISBLANK(A857), "", XLOOKUP(C857, 'Fees &amp; Postage Table'!A:A, 'Fees &amp; Postage Table'!D:D, 0))</f>
        <v/>
      </c>
      <c r="H857">
        <f>IF(ISBLANK(A857), "", B857 - E857 - F857 - G857)</f>
        <v/>
      </c>
      <c r="I857">
        <f>IF(ISBLANK(A857), "", D857 - XLOOKUP(A857, Inventory!A:A, Inventory!H:H, TODAY()))</f>
        <v/>
      </c>
    </row>
    <row r="858">
      <c r="E858">
        <f>IF(ISBLANK(A858), "", XLOOKUP(A858, Inventory!A:A, Inventory!E:E, 0))</f>
        <v/>
      </c>
      <c r="F858">
        <f>IF(ISBLANK(A858), "", (B858 * XLOOKUP(C858, 'Fees &amp; Postage Table'!A:A, 'Fees &amp; Postage Table'!C:C, 0)) + XLOOKUP(C858, 'Fees &amp; Postage Table'!A:A, 'Fees &amp; Postage Table'!B:B, 0))</f>
        <v/>
      </c>
      <c r="G858">
        <f>IF(ISBLANK(A858), "", XLOOKUP(C858, 'Fees &amp; Postage Table'!A:A, 'Fees &amp; Postage Table'!D:D, 0))</f>
        <v/>
      </c>
      <c r="H858">
        <f>IF(ISBLANK(A858), "", B858 - E858 - F858 - G858)</f>
        <v/>
      </c>
      <c r="I858">
        <f>IF(ISBLANK(A858), "", D858 - XLOOKUP(A858, Inventory!A:A, Inventory!H:H, TODAY()))</f>
        <v/>
      </c>
    </row>
    <row r="859">
      <c r="E859">
        <f>IF(ISBLANK(A859), "", XLOOKUP(A859, Inventory!A:A, Inventory!E:E, 0))</f>
        <v/>
      </c>
      <c r="F859">
        <f>IF(ISBLANK(A859), "", (B859 * XLOOKUP(C859, 'Fees &amp; Postage Table'!A:A, 'Fees &amp; Postage Table'!C:C, 0)) + XLOOKUP(C859, 'Fees &amp; Postage Table'!A:A, 'Fees &amp; Postage Table'!B:B, 0))</f>
        <v/>
      </c>
      <c r="G859">
        <f>IF(ISBLANK(A859), "", XLOOKUP(C859, 'Fees &amp; Postage Table'!A:A, 'Fees &amp; Postage Table'!D:D, 0))</f>
        <v/>
      </c>
      <c r="H859">
        <f>IF(ISBLANK(A859), "", B859 - E859 - F859 - G859)</f>
        <v/>
      </c>
      <c r="I859">
        <f>IF(ISBLANK(A859), "", D859 - XLOOKUP(A859, Inventory!A:A, Inventory!H:H, TODAY()))</f>
        <v/>
      </c>
    </row>
    <row r="860">
      <c r="E860">
        <f>IF(ISBLANK(A860), "", XLOOKUP(A860, Inventory!A:A, Inventory!E:E, 0))</f>
        <v/>
      </c>
      <c r="F860">
        <f>IF(ISBLANK(A860), "", (B860 * XLOOKUP(C860, 'Fees &amp; Postage Table'!A:A, 'Fees &amp; Postage Table'!C:C, 0)) + XLOOKUP(C860, 'Fees &amp; Postage Table'!A:A, 'Fees &amp; Postage Table'!B:B, 0))</f>
        <v/>
      </c>
      <c r="G860">
        <f>IF(ISBLANK(A860), "", XLOOKUP(C860, 'Fees &amp; Postage Table'!A:A, 'Fees &amp; Postage Table'!D:D, 0))</f>
        <v/>
      </c>
      <c r="H860">
        <f>IF(ISBLANK(A860), "", B860 - E860 - F860 - G860)</f>
        <v/>
      </c>
      <c r="I860">
        <f>IF(ISBLANK(A860), "", D860 - XLOOKUP(A860, Inventory!A:A, Inventory!H:H, TODAY()))</f>
        <v/>
      </c>
    </row>
    <row r="861">
      <c r="E861">
        <f>IF(ISBLANK(A861), "", XLOOKUP(A861, Inventory!A:A, Inventory!E:E, 0))</f>
        <v/>
      </c>
      <c r="F861">
        <f>IF(ISBLANK(A861), "", (B861 * XLOOKUP(C861, 'Fees &amp; Postage Table'!A:A, 'Fees &amp; Postage Table'!C:C, 0)) + XLOOKUP(C861, 'Fees &amp; Postage Table'!A:A, 'Fees &amp; Postage Table'!B:B, 0))</f>
        <v/>
      </c>
      <c r="G861">
        <f>IF(ISBLANK(A861), "", XLOOKUP(C861, 'Fees &amp; Postage Table'!A:A, 'Fees &amp; Postage Table'!D:D, 0))</f>
        <v/>
      </c>
      <c r="H861">
        <f>IF(ISBLANK(A861), "", B861 - E861 - F861 - G861)</f>
        <v/>
      </c>
      <c r="I861">
        <f>IF(ISBLANK(A861), "", D861 - XLOOKUP(A861, Inventory!A:A, Inventory!H:H, TODAY()))</f>
        <v/>
      </c>
    </row>
    <row r="862">
      <c r="E862">
        <f>IF(ISBLANK(A862), "", XLOOKUP(A862, Inventory!A:A, Inventory!E:E, 0))</f>
        <v/>
      </c>
      <c r="F862">
        <f>IF(ISBLANK(A862), "", (B862 * XLOOKUP(C862, 'Fees &amp; Postage Table'!A:A, 'Fees &amp; Postage Table'!C:C, 0)) + XLOOKUP(C862, 'Fees &amp; Postage Table'!A:A, 'Fees &amp; Postage Table'!B:B, 0))</f>
        <v/>
      </c>
      <c r="G862">
        <f>IF(ISBLANK(A862), "", XLOOKUP(C862, 'Fees &amp; Postage Table'!A:A, 'Fees &amp; Postage Table'!D:D, 0))</f>
        <v/>
      </c>
      <c r="H862">
        <f>IF(ISBLANK(A862), "", B862 - E862 - F862 - G862)</f>
        <v/>
      </c>
      <c r="I862">
        <f>IF(ISBLANK(A862), "", D862 - XLOOKUP(A862, Inventory!A:A, Inventory!H:H, TODAY()))</f>
        <v/>
      </c>
    </row>
    <row r="863">
      <c r="E863">
        <f>IF(ISBLANK(A863), "", XLOOKUP(A863, Inventory!A:A, Inventory!E:E, 0))</f>
        <v/>
      </c>
      <c r="F863">
        <f>IF(ISBLANK(A863), "", (B863 * XLOOKUP(C863, 'Fees &amp; Postage Table'!A:A, 'Fees &amp; Postage Table'!C:C, 0)) + XLOOKUP(C863, 'Fees &amp; Postage Table'!A:A, 'Fees &amp; Postage Table'!B:B, 0))</f>
        <v/>
      </c>
      <c r="G863">
        <f>IF(ISBLANK(A863), "", XLOOKUP(C863, 'Fees &amp; Postage Table'!A:A, 'Fees &amp; Postage Table'!D:D, 0))</f>
        <v/>
      </c>
      <c r="H863">
        <f>IF(ISBLANK(A863), "", B863 - E863 - F863 - G863)</f>
        <v/>
      </c>
      <c r="I863">
        <f>IF(ISBLANK(A863), "", D863 - XLOOKUP(A863, Inventory!A:A, Inventory!H:H, TODAY()))</f>
        <v/>
      </c>
    </row>
    <row r="864">
      <c r="E864">
        <f>IF(ISBLANK(A864), "", XLOOKUP(A864, Inventory!A:A, Inventory!E:E, 0))</f>
        <v/>
      </c>
      <c r="F864">
        <f>IF(ISBLANK(A864), "", (B864 * XLOOKUP(C864, 'Fees &amp; Postage Table'!A:A, 'Fees &amp; Postage Table'!C:C, 0)) + XLOOKUP(C864, 'Fees &amp; Postage Table'!A:A, 'Fees &amp; Postage Table'!B:B, 0))</f>
        <v/>
      </c>
      <c r="G864">
        <f>IF(ISBLANK(A864), "", XLOOKUP(C864, 'Fees &amp; Postage Table'!A:A, 'Fees &amp; Postage Table'!D:D, 0))</f>
        <v/>
      </c>
      <c r="H864">
        <f>IF(ISBLANK(A864), "", B864 - E864 - F864 - G864)</f>
        <v/>
      </c>
      <c r="I864">
        <f>IF(ISBLANK(A864), "", D864 - XLOOKUP(A864, Inventory!A:A, Inventory!H:H, TODAY()))</f>
        <v/>
      </c>
    </row>
    <row r="865">
      <c r="E865">
        <f>IF(ISBLANK(A865), "", XLOOKUP(A865, Inventory!A:A, Inventory!E:E, 0))</f>
        <v/>
      </c>
      <c r="F865">
        <f>IF(ISBLANK(A865), "", (B865 * XLOOKUP(C865, 'Fees &amp; Postage Table'!A:A, 'Fees &amp; Postage Table'!C:C, 0)) + XLOOKUP(C865, 'Fees &amp; Postage Table'!A:A, 'Fees &amp; Postage Table'!B:B, 0))</f>
        <v/>
      </c>
      <c r="G865">
        <f>IF(ISBLANK(A865), "", XLOOKUP(C865, 'Fees &amp; Postage Table'!A:A, 'Fees &amp; Postage Table'!D:D, 0))</f>
        <v/>
      </c>
      <c r="H865">
        <f>IF(ISBLANK(A865), "", B865 - E865 - F865 - G865)</f>
        <v/>
      </c>
      <c r="I865">
        <f>IF(ISBLANK(A865), "", D865 - XLOOKUP(A865, Inventory!A:A, Inventory!H:H, TODAY()))</f>
        <v/>
      </c>
    </row>
    <row r="866">
      <c r="E866">
        <f>IF(ISBLANK(A866), "", XLOOKUP(A866, Inventory!A:A, Inventory!E:E, 0))</f>
        <v/>
      </c>
      <c r="F866">
        <f>IF(ISBLANK(A866), "", (B866 * XLOOKUP(C866, 'Fees &amp; Postage Table'!A:A, 'Fees &amp; Postage Table'!C:C, 0)) + XLOOKUP(C866, 'Fees &amp; Postage Table'!A:A, 'Fees &amp; Postage Table'!B:B, 0))</f>
        <v/>
      </c>
      <c r="G866">
        <f>IF(ISBLANK(A866), "", XLOOKUP(C866, 'Fees &amp; Postage Table'!A:A, 'Fees &amp; Postage Table'!D:D, 0))</f>
        <v/>
      </c>
      <c r="H866">
        <f>IF(ISBLANK(A866), "", B866 - E866 - F866 - G866)</f>
        <v/>
      </c>
      <c r="I866">
        <f>IF(ISBLANK(A866), "", D866 - XLOOKUP(A866, Inventory!A:A, Inventory!H:H, TODAY()))</f>
        <v/>
      </c>
    </row>
    <row r="867">
      <c r="E867">
        <f>IF(ISBLANK(A867), "", XLOOKUP(A867, Inventory!A:A, Inventory!E:E, 0))</f>
        <v/>
      </c>
      <c r="F867">
        <f>IF(ISBLANK(A867), "", (B867 * XLOOKUP(C867, 'Fees &amp; Postage Table'!A:A, 'Fees &amp; Postage Table'!C:C, 0)) + XLOOKUP(C867, 'Fees &amp; Postage Table'!A:A, 'Fees &amp; Postage Table'!B:B, 0))</f>
        <v/>
      </c>
      <c r="G867">
        <f>IF(ISBLANK(A867), "", XLOOKUP(C867, 'Fees &amp; Postage Table'!A:A, 'Fees &amp; Postage Table'!D:D, 0))</f>
        <v/>
      </c>
      <c r="H867">
        <f>IF(ISBLANK(A867), "", B867 - E867 - F867 - G867)</f>
        <v/>
      </c>
      <c r="I867">
        <f>IF(ISBLANK(A867), "", D867 - XLOOKUP(A867, Inventory!A:A, Inventory!H:H, TODAY()))</f>
        <v/>
      </c>
    </row>
    <row r="868">
      <c r="E868">
        <f>IF(ISBLANK(A868), "", XLOOKUP(A868, Inventory!A:A, Inventory!E:E, 0))</f>
        <v/>
      </c>
      <c r="F868">
        <f>IF(ISBLANK(A868), "", (B868 * XLOOKUP(C868, 'Fees &amp; Postage Table'!A:A, 'Fees &amp; Postage Table'!C:C, 0)) + XLOOKUP(C868, 'Fees &amp; Postage Table'!A:A, 'Fees &amp; Postage Table'!B:B, 0))</f>
        <v/>
      </c>
      <c r="G868">
        <f>IF(ISBLANK(A868), "", XLOOKUP(C868, 'Fees &amp; Postage Table'!A:A, 'Fees &amp; Postage Table'!D:D, 0))</f>
        <v/>
      </c>
      <c r="H868">
        <f>IF(ISBLANK(A868), "", B868 - E868 - F868 - G868)</f>
        <v/>
      </c>
      <c r="I868">
        <f>IF(ISBLANK(A868), "", D868 - XLOOKUP(A868, Inventory!A:A, Inventory!H:H, TODAY()))</f>
        <v/>
      </c>
    </row>
    <row r="869">
      <c r="E869">
        <f>IF(ISBLANK(A869), "", XLOOKUP(A869, Inventory!A:A, Inventory!E:E, 0))</f>
        <v/>
      </c>
      <c r="F869">
        <f>IF(ISBLANK(A869), "", (B869 * XLOOKUP(C869, 'Fees &amp; Postage Table'!A:A, 'Fees &amp; Postage Table'!C:C, 0)) + XLOOKUP(C869, 'Fees &amp; Postage Table'!A:A, 'Fees &amp; Postage Table'!B:B, 0))</f>
        <v/>
      </c>
      <c r="G869">
        <f>IF(ISBLANK(A869), "", XLOOKUP(C869, 'Fees &amp; Postage Table'!A:A, 'Fees &amp; Postage Table'!D:D, 0))</f>
        <v/>
      </c>
      <c r="H869">
        <f>IF(ISBLANK(A869), "", B869 - E869 - F869 - G869)</f>
        <v/>
      </c>
      <c r="I869">
        <f>IF(ISBLANK(A869), "", D869 - XLOOKUP(A869, Inventory!A:A, Inventory!H:H, TODAY()))</f>
        <v/>
      </c>
    </row>
    <row r="870">
      <c r="E870">
        <f>IF(ISBLANK(A870), "", XLOOKUP(A870, Inventory!A:A, Inventory!E:E, 0))</f>
        <v/>
      </c>
      <c r="F870">
        <f>IF(ISBLANK(A870), "", (B870 * XLOOKUP(C870, 'Fees &amp; Postage Table'!A:A, 'Fees &amp; Postage Table'!C:C, 0)) + XLOOKUP(C870, 'Fees &amp; Postage Table'!A:A, 'Fees &amp; Postage Table'!B:B, 0))</f>
        <v/>
      </c>
      <c r="G870">
        <f>IF(ISBLANK(A870), "", XLOOKUP(C870, 'Fees &amp; Postage Table'!A:A, 'Fees &amp; Postage Table'!D:D, 0))</f>
        <v/>
      </c>
      <c r="H870">
        <f>IF(ISBLANK(A870), "", B870 - E870 - F870 - G870)</f>
        <v/>
      </c>
      <c r="I870">
        <f>IF(ISBLANK(A870), "", D870 - XLOOKUP(A870, Inventory!A:A, Inventory!H:H, TODAY()))</f>
        <v/>
      </c>
    </row>
    <row r="871">
      <c r="E871">
        <f>IF(ISBLANK(A871), "", XLOOKUP(A871, Inventory!A:A, Inventory!E:E, 0))</f>
        <v/>
      </c>
      <c r="F871">
        <f>IF(ISBLANK(A871), "", (B871 * XLOOKUP(C871, 'Fees &amp; Postage Table'!A:A, 'Fees &amp; Postage Table'!C:C, 0)) + XLOOKUP(C871, 'Fees &amp; Postage Table'!A:A, 'Fees &amp; Postage Table'!B:B, 0))</f>
        <v/>
      </c>
      <c r="G871">
        <f>IF(ISBLANK(A871), "", XLOOKUP(C871, 'Fees &amp; Postage Table'!A:A, 'Fees &amp; Postage Table'!D:D, 0))</f>
        <v/>
      </c>
      <c r="H871">
        <f>IF(ISBLANK(A871), "", B871 - E871 - F871 - G871)</f>
        <v/>
      </c>
      <c r="I871">
        <f>IF(ISBLANK(A871), "", D871 - XLOOKUP(A871, Inventory!A:A, Inventory!H:H, TODAY()))</f>
        <v/>
      </c>
    </row>
    <row r="872">
      <c r="E872">
        <f>IF(ISBLANK(A872), "", XLOOKUP(A872, Inventory!A:A, Inventory!E:E, 0))</f>
        <v/>
      </c>
      <c r="F872">
        <f>IF(ISBLANK(A872), "", (B872 * XLOOKUP(C872, 'Fees &amp; Postage Table'!A:A, 'Fees &amp; Postage Table'!C:C, 0)) + XLOOKUP(C872, 'Fees &amp; Postage Table'!A:A, 'Fees &amp; Postage Table'!B:B, 0))</f>
        <v/>
      </c>
      <c r="G872">
        <f>IF(ISBLANK(A872), "", XLOOKUP(C872, 'Fees &amp; Postage Table'!A:A, 'Fees &amp; Postage Table'!D:D, 0))</f>
        <v/>
      </c>
      <c r="H872">
        <f>IF(ISBLANK(A872), "", B872 - E872 - F872 - G872)</f>
        <v/>
      </c>
      <c r="I872">
        <f>IF(ISBLANK(A872), "", D872 - XLOOKUP(A872, Inventory!A:A, Inventory!H:H, TODAY()))</f>
        <v/>
      </c>
    </row>
    <row r="873">
      <c r="E873">
        <f>IF(ISBLANK(A873), "", XLOOKUP(A873, Inventory!A:A, Inventory!E:E, 0))</f>
        <v/>
      </c>
      <c r="F873">
        <f>IF(ISBLANK(A873), "", (B873 * XLOOKUP(C873, 'Fees &amp; Postage Table'!A:A, 'Fees &amp; Postage Table'!C:C, 0)) + XLOOKUP(C873, 'Fees &amp; Postage Table'!A:A, 'Fees &amp; Postage Table'!B:B, 0))</f>
        <v/>
      </c>
      <c r="G873">
        <f>IF(ISBLANK(A873), "", XLOOKUP(C873, 'Fees &amp; Postage Table'!A:A, 'Fees &amp; Postage Table'!D:D, 0))</f>
        <v/>
      </c>
      <c r="H873">
        <f>IF(ISBLANK(A873), "", B873 - E873 - F873 - G873)</f>
        <v/>
      </c>
      <c r="I873">
        <f>IF(ISBLANK(A873), "", D873 - XLOOKUP(A873, Inventory!A:A, Inventory!H:H, TODAY()))</f>
        <v/>
      </c>
    </row>
    <row r="874">
      <c r="E874">
        <f>IF(ISBLANK(A874), "", XLOOKUP(A874, Inventory!A:A, Inventory!E:E, 0))</f>
        <v/>
      </c>
      <c r="F874">
        <f>IF(ISBLANK(A874), "", (B874 * XLOOKUP(C874, 'Fees &amp; Postage Table'!A:A, 'Fees &amp; Postage Table'!C:C, 0)) + XLOOKUP(C874, 'Fees &amp; Postage Table'!A:A, 'Fees &amp; Postage Table'!B:B, 0))</f>
        <v/>
      </c>
      <c r="G874">
        <f>IF(ISBLANK(A874), "", XLOOKUP(C874, 'Fees &amp; Postage Table'!A:A, 'Fees &amp; Postage Table'!D:D, 0))</f>
        <v/>
      </c>
      <c r="H874">
        <f>IF(ISBLANK(A874), "", B874 - E874 - F874 - G874)</f>
        <v/>
      </c>
      <c r="I874">
        <f>IF(ISBLANK(A874), "", D874 - XLOOKUP(A874, Inventory!A:A, Inventory!H:H, TODAY()))</f>
        <v/>
      </c>
    </row>
    <row r="875">
      <c r="E875">
        <f>IF(ISBLANK(A875), "", XLOOKUP(A875, Inventory!A:A, Inventory!E:E, 0))</f>
        <v/>
      </c>
      <c r="F875">
        <f>IF(ISBLANK(A875), "", (B875 * XLOOKUP(C875, 'Fees &amp; Postage Table'!A:A, 'Fees &amp; Postage Table'!C:C, 0)) + XLOOKUP(C875, 'Fees &amp; Postage Table'!A:A, 'Fees &amp; Postage Table'!B:B, 0))</f>
        <v/>
      </c>
      <c r="G875">
        <f>IF(ISBLANK(A875), "", XLOOKUP(C875, 'Fees &amp; Postage Table'!A:A, 'Fees &amp; Postage Table'!D:D, 0))</f>
        <v/>
      </c>
      <c r="H875">
        <f>IF(ISBLANK(A875), "", B875 - E875 - F875 - G875)</f>
        <v/>
      </c>
      <c r="I875">
        <f>IF(ISBLANK(A875), "", D875 - XLOOKUP(A875, Inventory!A:A, Inventory!H:H, TODAY()))</f>
        <v/>
      </c>
    </row>
    <row r="876">
      <c r="E876">
        <f>IF(ISBLANK(A876), "", XLOOKUP(A876, Inventory!A:A, Inventory!E:E, 0))</f>
        <v/>
      </c>
      <c r="F876">
        <f>IF(ISBLANK(A876), "", (B876 * XLOOKUP(C876, 'Fees &amp; Postage Table'!A:A, 'Fees &amp; Postage Table'!C:C, 0)) + XLOOKUP(C876, 'Fees &amp; Postage Table'!A:A, 'Fees &amp; Postage Table'!B:B, 0))</f>
        <v/>
      </c>
      <c r="G876">
        <f>IF(ISBLANK(A876), "", XLOOKUP(C876, 'Fees &amp; Postage Table'!A:A, 'Fees &amp; Postage Table'!D:D, 0))</f>
        <v/>
      </c>
      <c r="H876">
        <f>IF(ISBLANK(A876), "", B876 - E876 - F876 - G876)</f>
        <v/>
      </c>
      <c r="I876">
        <f>IF(ISBLANK(A876), "", D876 - XLOOKUP(A876, Inventory!A:A, Inventory!H:H, TODAY()))</f>
        <v/>
      </c>
    </row>
    <row r="877">
      <c r="E877">
        <f>IF(ISBLANK(A877), "", XLOOKUP(A877, Inventory!A:A, Inventory!E:E, 0))</f>
        <v/>
      </c>
      <c r="F877">
        <f>IF(ISBLANK(A877), "", (B877 * XLOOKUP(C877, 'Fees &amp; Postage Table'!A:A, 'Fees &amp; Postage Table'!C:C, 0)) + XLOOKUP(C877, 'Fees &amp; Postage Table'!A:A, 'Fees &amp; Postage Table'!B:B, 0))</f>
        <v/>
      </c>
      <c r="G877">
        <f>IF(ISBLANK(A877), "", XLOOKUP(C877, 'Fees &amp; Postage Table'!A:A, 'Fees &amp; Postage Table'!D:D, 0))</f>
        <v/>
      </c>
      <c r="H877">
        <f>IF(ISBLANK(A877), "", B877 - E877 - F877 - G877)</f>
        <v/>
      </c>
      <c r="I877">
        <f>IF(ISBLANK(A877), "", D877 - XLOOKUP(A877, Inventory!A:A, Inventory!H:H, TODAY()))</f>
        <v/>
      </c>
    </row>
    <row r="878">
      <c r="E878">
        <f>IF(ISBLANK(A878), "", XLOOKUP(A878, Inventory!A:A, Inventory!E:E, 0))</f>
        <v/>
      </c>
      <c r="F878">
        <f>IF(ISBLANK(A878), "", (B878 * XLOOKUP(C878, 'Fees &amp; Postage Table'!A:A, 'Fees &amp; Postage Table'!C:C, 0)) + XLOOKUP(C878, 'Fees &amp; Postage Table'!A:A, 'Fees &amp; Postage Table'!B:B, 0))</f>
        <v/>
      </c>
      <c r="G878">
        <f>IF(ISBLANK(A878), "", XLOOKUP(C878, 'Fees &amp; Postage Table'!A:A, 'Fees &amp; Postage Table'!D:D, 0))</f>
        <v/>
      </c>
      <c r="H878">
        <f>IF(ISBLANK(A878), "", B878 - E878 - F878 - G878)</f>
        <v/>
      </c>
      <c r="I878">
        <f>IF(ISBLANK(A878), "", D878 - XLOOKUP(A878, Inventory!A:A, Inventory!H:H, TODAY()))</f>
        <v/>
      </c>
    </row>
    <row r="879">
      <c r="E879">
        <f>IF(ISBLANK(A879), "", XLOOKUP(A879, Inventory!A:A, Inventory!E:E, 0))</f>
        <v/>
      </c>
      <c r="F879">
        <f>IF(ISBLANK(A879), "", (B879 * XLOOKUP(C879, 'Fees &amp; Postage Table'!A:A, 'Fees &amp; Postage Table'!C:C, 0)) + XLOOKUP(C879, 'Fees &amp; Postage Table'!A:A, 'Fees &amp; Postage Table'!B:B, 0))</f>
        <v/>
      </c>
      <c r="G879">
        <f>IF(ISBLANK(A879), "", XLOOKUP(C879, 'Fees &amp; Postage Table'!A:A, 'Fees &amp; Postage Table'!D:D, 0))</f>
        <v/>
      </c>
      <c r="H879">
        <f>IF(ISBLANK(A879), "", B879 - E879 - F879 - G879)</f>
        <v/>
      </c>
      <c r="I879">
        <f>IF(ISBLANK(A879), "", D879 - XLOOKUP(A879, Inventory!A:A, Inventory!H:H, TODAY()))</f>
        <v/>
      </c>
    </row>
    <row r="880">
      <c r="E880">
        <f>IF(ISBLANK(A880), "", XLOOKUP(A880, Inventory!A:A, Inventory!E:E, 0))</f>
        <v/>
      </c>
      <c r="F880">
        <f>IF(ISBLANK(A880), "", (B880 * XLOOKUP(C880, 'Fees &amp; Postage Table'!A:A, 'Fees &amp; Postage Table'!C:C, 0)) + XLOOKUP(C880, 'Fees &amp; Postage Table'!A:A, 'Fees &amp; Postage Table'!B:B, 0))</f>
        <v/>
      </c>
      <c r="G880">
        <f>IF(ISBLANK(A880), "", XLOOKUP(C880, 'Fees &amp; Postage Table'!A:A, 'Fees &amp; Postage Table'!D:D, 0))</f>
        <v/>
      </c>
      <c r="H880">
        <f>IF(ISBLANK(A880), "", B880 - E880 - F880 - G880)</f>
        <v/>
      </c>
      <c r="I880">
        <f>IF(ISBLANK(A880), "", D880 - XLOOKUP(A880, Inventory!A:A, Inventory!H:H, TODAY()))</f>
        <v/>
      </c>
    </row>
    <row r="881">
      <c r="E881">
        <f>IF(ISBLANK(A881), "", XLOOKUP(A881, Inventory!A:A, Inventory!E:E, 0))</f>
        <v/>
      </c>
      <c r="F881">
        <f>IF(ISBLANK(A881), "", (B881 * XLOOKUP(C881, 'Fees &amp; Postage Table'!A:A, 'Fees &amp; Postage Table'!C:C, 0)) + XLOOKUP(C881, 'Fees &amp; Postage Table'!A:A, 'Fees &amp; Postage Table'!B:B, 0))</f>
        <v/>
      </c>
      <c r="G881">
        <f>IF(ISBLANK(A881), "", XLOOKUP(C881, 'Fees &amp; Postage Table'!A:A, 'Fees &amp; Postage Table'!D:D, 0))</f>
        <v/>
      </c>
      <c r="H881">
        <f>IF(ISBLANK(A881), "", B881 - E881 - F881 - G881)</f>
        <v/>
      </c>
      <c r="I881">
        <f>IF(ISBLANK(A881), "", D881 - XLOOKUP(A881, Inventory!A:A, Inventory!H:H, TODAY()))</f>
        <v/>
      </c>
    </row>
    <row r="882">
      <c r="E882">
        <f>IF(ISBLANK(A882), "", XLOOKUP(A882, Inventory!A:A, Inventory!E:E, 0))</f>
        <v/>
      </c>
      <c r="F882">
        <f>IF(ISBLANK(A882), "", (B882 * XLOOKUP(C882, 'Fees &amp; Postage Table'!A:A, 'Fees &amp; Postage Table'!C:C, 0)) + XLOOKUP(C882, 'Fees &amp; Postage Table'!A:A, 'Fees &amp; Postage Table'!B:B, 0))</f>
        <v/>
      </c>
      <c r="G882">
        <f>IF(ISBLANK(A882), "", XLOOKUP(C882, 'Fees &amp; Postage Table'!A:A, 'Fees &amp; Postage Table'!D:D, 0))</f>
        <v/>
      </c>
      <c r="H882">
        <f>IF(ISBLANK(A882), "", B882 - E882 - F882 - G882)</f>
        <v/>
      </c>
      <c r="I882">
        <f>IF(ISBLANK(A882), "", D882 - XLOOKUP(A882, Inventory!A:A, Inventory!H:H, TODAY()))</f>
        <v/>
      </c>
    </row>
    <row r="883">
      <c r="E883">
        <f>IF(ISBLANK(A883), "", XLOOKUP(A883, Inventory!A:A, Inventory!E:E, 0))</f>
        <v/>
      </c>
      <c r="F883">
        <f>IF(ISBLANK(A883), "", (B883 * XLOOKUP(C883, 'Fees &amp; Postage Table'!A:A, 'Fees &amp; Postage Table'!C:C, 0)) + XLOOKUP(C883, 'Fees &amp; Postage Table'!A:A, 'Fees &amp; Postage Table'!B:B, 0))</f>
        <v/>
      </c>
      <c r="G883">
        <f>IF(ISBLANK(A883), "", XLOOKUP(C883, 'Fees &amp; Postage Table'!A:A, 'Fees &amp; Postage Table'!D:D, 0))</f>
        <v/>
      </c>
      <c r="H883">
        <f>IF(ISBLANK(A883), "", B883 - E883 - F883 - G883)</f>
        <v/>
      </c>
      <c r="I883">
        <f>IF(ISBLANK(A883), "", D883 - XLOOKUP(A883, Inventory!A:A, Inventory!H:H, TODAY()))</f>
        <v/>
      </c>
    </row>
    <row r="884">
      <c r="E884">
        <f>IF(ISBLANK(A884), "", XLOOKUP(A884, Inventory!A:A, Inventory!E:E, 0))</f>
        <v/>
      </c>
      <c r="F884">
        <f>IF(ISBLANK(A884), "", (B884 * XLOOKUP(C884, 'Fees &amp; Postage Table'!A:A, 'Fees &amp; Postage Table'!C:C, 0)) + XLOOKUP(C884, 'Fees &amp; Postage Table'!A:A, 'Fees &amp; Postage Table'!B:B, 0))</f>
        <v/>
      </c>
      <c r="G884">
        <f>IF(ISBLANK(A884), "", XLOOKUP(C884, 'Fees &amp; Postage Table'!A:A, 'Fees &amp; Postage Table'!D:D, 0))</f>
        <v/>
      </c>
      <c r="H884">
        <f>IF(ISBLANK(A884), "", B884 - E884 - F884 - G884)</f>
        <v/>
      </c>
      <c r="I884">
        <f>IF(ISBLANK(A884), "", D884 - XLOOKUP(A884, Inventory!A:A, Inventory!H:H, TODAY()))</f>
        <v/>
      </c>
    </row>
    <row r="885">
      <c r="E885">
        <f>IF(ISBLANK(A885), "", XLOOKUP(A885, Inventory!A:A, Inventory!E:E, 0))</f>
        <v/>
      </c>
      <c r="F885">
        <f>IF(ISBLANK(A885), "", (B885 * XLOOKUP(C885, 'Fees &amp; Postage Table'!A:A, 'Fees &amp; Postage Table'!C:C, 0)) + XLOOKUP(C885, 'Fees &amp; Postage Table'!A:A, 'Fees &amp; Postage Table'!B:B, 0))</f>
        <v/>
      </c>
      <c r="G885">
        <f>IF(ISBLANK(A885), "", XLOOKUP(C885, 'Fees &amp; Postage Table'!A:A, 'Fees &amp; Postage Table'!D:D, 0))</f>
        <v/>
      </c>
      <c r="H885">
        <f>IF(ISBLANK(A885), "", B885 - E885 - F885 - G885)</f>
        <v/>
      </c>
      <c r="I885">
        <f>IF(ISBLANK(A885), "", D885 - XLOOKUP(A885, Inventory!A:A, Inventory!H:H, TODAY()))</f>
        <v/>
      </c>
    </row>
    <row r="886">
      <c r="E886">
        <f>IF(ISBLANK(A886), "", XLOOKUP(A886, Inventory!A:A, Inventory!E:E, 0))</f>
        <v/>
      </c>
      <c r="F886">
        <f>IF(ISBLANK(A886), "", (B886 * XLOOKUP(C886, 'Fees &amp; Postage Table'!A:A, 'Fees &amp; Postage Table'!C:C, 0)) + XLOOKUP(C886, 'Fees &amp; Postage Table'!A:A, 'Fees &amp; Postage Table'!B:B, 0))</f>
        <v/>
      </c>
      <c r="G886">
        <f>IF(ISBLANK(A886), "", XLOOKUP(C886, 'Fees &amp; Postage Table'!A:A, 'Fees &amp; Postage Table'!D:D, 0))</f>
        <v/>
      </c>
      <c r="H886">
        <f>IF(ISBLANK(A886), "", B886 - E886 - F886 - G886)</f>
        <v/>
      </c>
      <c r="I886">
        <f>IF(ISBLANK(A886), "", D886 - XLOOKUP(A886, Inventory!A:A, Inventory!H:H, TODAY()))</f>
        <v/>
      </c>
    </row>
    <row r="887">
      <c r="E887">
        <f>IF(ISBLANK(A887), "", XLOOKUP(A887, Inventory!A:A, Inventory!E:E, 0))</f>
        <v/>
      </c>
      <c r="F887">
        <f>IF(ISBLANK(A887), "", (B887 * XLOOKUP(C887, 'Fees &amp; Postage Table'!A:A, 'Fees &amp; Postage Table'!C:C, 0)) + XLOOKUP(C887, 'Fees &amp; Postage Table'!A:A, 'Fees &amp; Postage Table'!B:B, 0))</f>
        <v/>
      </c>
      <c r="G887">
        <f>IF(ISBLANK(A887), "", XLOOKUP(C887, 'Fees &amp; Postage Table'!A:A, 'Fees &amp; Postage Table'!D:D, 0))</f>
        <v/>
      </c>
      <c r="H887">
        <f>IF(ISBLANK(A887), "", B887 - E887 - F887 - G887)</f>
        <v/>
      </c>
      <c r="I887">
        <f>IF(ISBLANK(A887), "", D887 - XLOOKUP(A887, Inventory!A:A, Inventory!H:H, TODAY()))</f>
        <v/>
      </c>
    </row>
    <row r="888">
      <c r="E888">
        <f>IF(ISBLANK(A888), "", XLOOKUP(A888, Inventory!A:A, Inventory!E:E, 0))</f>
        <v/>
      </c>
      <c r="F888">
        <f>IF(ISBLANK(A888), "", (B888 * XLOOKUP(C888, 'Fees &amp; Postage Table'!A:A, 'Fees &amp; Postage Table'!C:C, 0)) + XLOOKUP(C888, 'Fees &amp; Postage Table'!A:A, 'Fees &amp; Postage Table'!B:B, 0))</f>
        <v/>
      </c>
      <c r="G888">
        <f>IF(ISBLANK(A888), "", XLOOKUP(C888, 'Fees &amp; Postage Table'!A:A, 'Fees &amp; Postage Table'!D:D, 0))</f>
        <v/>
      </c>
      <c r="H888">
        <f>IF(ISBLANK(A888), "", B888 - E888 - F888 - G888)</f>
        <v/>
      </c>
      <c r="I888">
        <f>IF(ISBLANK(A888), "", D888 - XLOOKUP(A888, Inventory!A:A, Inventory!H:H, TODAY()))</f>
        <v/>
      </c>
    </row>
    <row r="889">
      <c r="E889">
        <f>IF(ISBLANK(A889), "", XLOOKUP(A889, Inventory!A:A, Inventory!E:E, 0))</f>
        <v/>
      </c>
      <c r="F889">
        <f>IF(ISBLANK(A889), "", (B889 * XLOOKUP(C889, 'Fees &amp; Postage Table'!A:A, 'Fees &amp; Postage Table'!C:C, 0)) + XLOOKUP(C889, 'Fees &amp; Postage Table'!A:A, 'Fees &amp; Postage Table'!B:B, 0))</f>
        <v/>
      </c>
      <c r="G889">
        <f>IF(ISBLANK(A889), "", XLOOKUP(C889, 'Fees &amp; Postage Table'!A:A, 'Fees &amp; Postage Table'!D:D, 0))</f>
        <v/>
      </c>
      <c r="H889">
        <f>IF(ISBLANK(A889), "", B889 - E889 - F889 - G889)</f>
        <v/>
      </c>
      <c r="I889">
        <f>IF(ISBLANK(A889), "", D889 - XLOOKUP(A889, Inventory!A:A, Inventory!H:H, TODAY()))</f>
        <v/>
      </c>
    </row>
    <row r="890">
      <c r="E890">
        <f>IF(ISBLANK(A890), "", XLOOKUP(A890, Inventory!A:A, Inventory!E:E, 0))</f>
        <v/>
      </c>
      <c r="F890">
        <f>IF(ISBLANK(A890), "", (B890 * XLOOKUP(C890, 'Fees &amp; Postage Table'!A:A, 'Fees &amp; Postage Table'!C:C, 0)) + XLOOKUP(C890, 'Fees &amp; Postage Table'!A:A, 'Fees &amp; Postage Table'!B:B, 0))</f>
        <v/>
      </c>
      <c r="G890">
        <f>IF(ISBLANK(A890), "", XLOOKUP(C890, 'Fees &amp; Postage Table'!A:A, 'Fees &amp; Postage Table'!D:D, 0))</f>
        <v/>
      </c>
      <c r="H890">
        <f>IF(ISBLANK(A890), "", B890 - E890 - F890 - G890)</f>
        <v/>
      </c>
      <c r="I890">
        <f>IF(ISBLANK(A890), "", D890 - XLOOKUP(A890, Inventory!A:A, Inventory!H:H, TODAY()))</f>
        <v/>
      </c>
    </row>
    <row r="891">
      <c r="E891">
        <f>IF(ISBLANK(A891), "", XLOOKUP(A891, Inventory!A:A, Inventory!E:E, 0))</f>
        <v/>
      </c>
      <c r="F891">
        <f>IF(ISBLANK(A891), "", (B891 * XLOOKUP(C891, 'Fees &amp; Postage Table'!A:A, 'Fees &amp; Postage Table'!C:C, 0)) + XLOOKUP(C891, 'Fees &amp; Postage Table'!A:A, 'Fees &amp; Postage Table'!B:B, 0))</f>
        <v/>
      </c>
      <c r="G891">
        <f>IF(ISBLANK(A891), "", XLOOKUP(C891, 'Fees &amp; Postage Table'!A:A, 'Fees &amp; Postage Table'!D:D, 0))</f>
        <v/>
      </c>
      <c r="H891">
        <f>IF(ISBLANK(A891), "", B891 - E891 - F891 - G891)</f>
        <v/>
      </c>
      <c r="I891">
        <f>IF(ISBLANK(A891), "", D891 - XLOOKUP(A891, Inventory!A:A, Inventory!H:H, TODAY()))</f>
        <v/>
      </c>
    </row>
    <row r="892">
      <c r="E892">
        <f>IF(ISBLANK(A892), "", XLOOKUP(A892, Inventory!A:A, Inventory!E:E, 0))</f>
        <v/>
      </c>
      <c r="F892">
        <f>IF(ISBLANK(A892), "", (B892 * XLOOKUP(C892, 'Fees &amp; Postage Table'!A:A, 'Fees &amp; Postage Table'!C:C, 0)) + XLOOKUP(C892, 'Fees &amp; Postage Table'!A:A, 'Fees &amp; Postage Table'!B:B, 0))</f>
        <v/>
      </c>
      <c r="G892">
        <f>IF(ISBLANK(A892), "", XLOOKUP(C892, 'Fees &amp; Postage Table'!A:A, 'Fees &amp; Postage Table'!D:D, 0))</f>
        <v/>
      </c>
      <c r="H892">
        <f>IF(ISBLANK(A892), "", B892 - E892 - F892 - G892)</f>
        <v/>
      </c>
      <c r="I892">
        <f>IF(ISBLANK(A892), "", D892 - XLOOKUP(A892, Inventory!A:A, Inventory!H:H, TODAY()))</f>
        <v/>
      </c>
    </row>
    <row r="893">
      <c r="E893">
        <f>IF(ISBLANK(A893), "", XLOOKUP(A893, Inventory!A:A, Inventory!E:E, 0))</f>
        <v/>
      </c>
      <c r="F893">
        <f>IF(ISBLANK(A893), "", (B893 * XLOOKUP(C893, 'Fees &amp; Postage Table'!A:A, 'Fees &amp; Postage Table'!C:C, 0)) + XLOOKUP(C893, 'Fees &amp; Postage Table'!A:A, 'Fees &amp; Postage Table'!B:B, 0))</f>
        <v/>
      </c>
      <c r="G893">
        <f>IF(ISBLANK(A893), "", XLOOKUP(C893, 'Fees &amp; Postage Table'!A:A, 'Fees &amp; Postage Table'!D:D, 0))</f>
        <v/>
      </c>
      <c r="H893">
        <f>IF(ISBLANK(A893), "", B893 - E893 - F893 - G893)</f>
        <v/>
      </c>
      <c r="I893">
        <f>IF(ISBLANK(A893), "", D893 - XLOOKUP(A893, Inventory!A:A, Inventory!H:H, TODAY()))</f>
        <v/>
      </c>
    </row>
    <row r="894">
      <c r="E894">
        <f>IF(ISBLANK(A894), "", XLOOKUP(A894, Inventory!A:A, Inventory!E:E, 0))</f>
        <v/>
      </c>
      <c r="F894">
        <f>IF(ISBLANK(A894), "", (B894 * XLOOKUP(C894, 'Fees &amp; Postage Table'!A:A, 'Fees &amp; Postage Table'!C:C, 0)) + XLOOKUP(C894, 'Fees &amp; Postage Table'!A:A, 'Fees &amp; Postage Table'!B:B, 0))</f>
        <v/>
      </c>
      <c r="G894">
        <f>IF(ISBLANK(A894), "", XLOOKUP(C894, 'Fees &amp; Postage Table'!A:A, 'Fees &amp; Postage Table'!D:D, 0))</f>
        <v/>
      </c>
      <c r="H894">
        <f>IF(ISBLANK(A894), "", B894 - E894 - F894 - G894)</f>
        <v/>
      </c>
      <c r="I894">
        <f>IF(ISBLANK(A894), "", D894 - XLOOKUP(A894, Inventory!A:A, Inventory!H:H, TODAY()))</f>
        <v/>
      </c>
    </row>
    <row r="895">
      <c r="E895">
        <f>IF(ISBLANK(A895), "", XLOOKUP(A895, Inventory!A:A, Inventory!E:E, 0))</f>
        <v/>
      </c>
      <c r="F895">
        <f>IF(ISBLANK(A895), "", (B895 * XLOOKUP(C895, 'Fees &amp; Postage Table'!A:A, 'Fees &amp; Postage Table'!C:C, 0)) + XLOOKUP(C895, 'Fees &amp; Postage Table'!A:A, 'Fees &amp; Postage Table'!B:B, 0))</f>
        <v/>
      </c>
      <c r="G895">
        <f>IF(ISBLANK(A895), "", XLOOKUP(C895, 'Fees &amp; Postage Table'!A:A, 'Fees &amp; Postage Table'!D:D, 0))</f>
        <v/>
      </c>
      <c r="H895">
        <f>IF(ISBLANK(A895), "", B895 - E895 - F895 - G895)</f>
        <v/>
      </c>
      <c r="I895">
        <f>IF(ISBLANK(A895), "", D895 - XLOOKUP(A895, Inventory!A:A, Inventory!H:H, TODAY()))</f>
        <v/>
      </c>
    </row>
    <row r="896">
      <c r="E896">
        <f>IF(ISBLANK(A896), "", XLOOKUP(A896, Inventory!A:A, Inventory!E:E, 0))</f>
        <v/>
      </c>
      <c r="F896">
        <f>IF(ISBLANK(A896), "", (B896 * XLOOKUP(C896, 'Fees &amp; Postage Table'!A:A, 'Fees &amp; Postage Table'!C:C, 0)) + XLOOKUP(C896, 'Fees &amp; Postage Table'!A:A, 'Fees &amp; Postage Table'!B:B, 0))</f>
        <v/>
      </c>
      <c r="G896">
        <f>IF(ISBLANK(A896), "", XLOOKUP(C896, 'Fees &amp; Postage Table'!A:A, 'Fees &amp; Postage Table'!D:D, 0))</f>
        <v/>
      </c>
      <c r="H896">
        <f>IF(ISBLANK(A896), "", B896 - E896 - F896 - G896)</f>
        <v/>
      </c>
      <c r="I896">
        <f>IF(ISBLANK(A896), "", D896 - XLOOKUP(A896, Inventory!A:A, Inventory!H:H, TODAY()))</f>
        <v/>
      </c>
    </row>
    <row r="897">
      <c r="E897">
        <f>IF(ISBLANK(A897), "", XLOOKUP(A897, Inventory!A:A, Inventory!E:E, 0))</f>
        <v/>
      </c>
      <c r="F897">
        <f>IF(ISBLANK(A897), "", (B897 * XLOOKUP(C897, 'Fees &amp; Postage Table'!A:A, 'Fees &amp; Postage Table'!C:C, 0)) + XLOOKUP(C897, 'Fees &amp; Postage Table'!A:A, 'Fees &amp; Postage Table'!B:B, 0))</f>
        <v/>
      </c>
      <c r="G897">
        <f>IF(ISBLANK(A897), "", XLOOKUP(C897, 'Fees &amp; Postage Table'!A:A, 'Fees &amp; Postage Table'!D:D, 0))</f>
        <v/>
      </c>
      <c r="H897">
        <f>IF(ISBLANK(A897), "", B897 - E897 - F897 - G897)</f>
        <v/>
      </c>
      <c r="I897">
        <f>IF(ISBLANK(A897), "", D897 - XLOOKUP(A897, Inventory!A:A, Inventory!H:H, TODAY()))</f>
        <v/>
      </c>
    </row>
    <row r="898">
      <c r="E898">
        <f>IF(ISBLANK(A898), "", XLOOKUP(A898, Inventory!A:A, Inventory!E:E, 0))</f>
        <v/>
      </c>
      <c r="F898">
        <f>IF(ISBLANK(A898), "", (B898 * XLOOKUP(C898, 'Fees &amp; Postage Table'!A:A, 'Fees &amp; Postage Table'!C:C, 0)) + XLOOKUP(C898, 'Fees &amp; Postage Table'!A:A, 'Fees &amp; Postage Table'!B:B, 0))</f>
        <v/>
      </c>
      <c r="G898">
        <f>IF(ISBLANK(A898), "", XLOOKUP(C898, 'Fees &amp; Postage Table'!A:A, 'Fees &amp; Postage Table'!D:D, 0))</f>
        <v/>
      </c>
      <c r="H898">
        <f>IF(ISBLANK(A898), "", B898 - E898 - F898 - G898)</f>
        <v/>
      </c>
      <c r="I898">
        <f>IF(ISBLANK(A898), "", D898 - XLOOKUP(A898, Inventory!A:A, Inventory!H:H, TODAY()))</f>
        <v/>
      </c>
    </row>
    <row r="899">
      <c r="E899">
        <f>IF(ISBLANK(A899), "", XLOOKUP(A899, Inventory!A:A, Inventory!E:E, 0))</f>
        <v/>
      </c>
      <c r="F899">
        <f>IF(ISBLANK(A899), "", (B899 * XLOOKUP(C899, 'Fees &amp; Postage Table'!A:A, 'Fees &amp; Postage Table'!C:C, 0)) + XLOOKUP(C899, 'Fees &amp; Postage Table'!A:A, 'Fees &amp; Postage Table'!B:B, 0))</f>
        <v/>
      </c>
      <c r="G899">
        <f>IF(ISBLANK(A899), "", XLOOKUP(C899, 'Fees &amp; Postage Table'!A:A, 'Fees &amp; Postage Table'!D:D, 0))</f>
        <v/>
      </c>
      <c r="H899">
        <f>IF(ISBLANK(A899), "", B899 - E899 - F899 - G899)</f>
        <v/>
      </c>
      <c r="I899">
        <f>IF(ISBLANK(A899), "", D899 - XLOOKUP(A899, Inventory!A:A, Inventory!H:H, TODAY()))</f>
        <v/>
      </c>
    </row>
    <row r="900">
      <c r="E900">
        <f>IF(ISBLANK(A900), "", XLOOKUP(A900, Inventory!A:A, Inventory!E:E, 0))</f>
        <v/>
      </c>
      <c r="F900">
        <f>IF(ISBLANK(A900), "", (B900 * XLOOKUP(C900, 'Fees &amp; Postage Table'!A:A, 'Fees &amp; Postage Table'!C:C, 0)) + XLOOKUP(C900, 'Fees &amp; Postage Table'!A:A, 'Fees &amp; Postage Table'!B:B, 0))</f>
        <v/>
      </c>
      <c r="G900">
        <f>IF(ISBLANK(A900), "", XLOOKUP(C900, 'Fees &amp; Postage Table'!A:A, 'Fees &amp; Postage Table'!D:D, 0))</f>
        <v/>
      </c>
      <c r="H900">
        <f>IF(ISBLANK(A900), "", B900 - E900 - F900 - G900)</f>
        <v/>
      </c>
      <c r="I900">
        <f>IF(ISBLANK(A900), "", D900 - XLOOKUP(A900, Inventory!A:A, Inventory!H:H, TODAY()))</f>
        <v/>
      </c>
    </row>
    <row r="901">
      <c r="E901">
        <f>IF(ISBLANK(A901), "", XLOOKUP(A901, Inventory!A:A, Inventory!E:E, 0))</f>
        <v/>
      </c>
      <c r="F901">
        <f>IF(ISBLANK(A901), "", (B901 * XLOOKUP(C901, 'Fees &amp; Postage Table'!A:A, 'Fees &amp; Postage Table'!C:C, 0)) + XLOOKUP(C901, 'Fees &amp; Postage Table'!A:A, 'Fees &amp; Postage Table'!B:B, 0))</f>
        <v/>
      </c>
      <c r="G901">
        <f>IF(ISBLANK(A901), "", XLOOKUP(C901, 'Fees &amp; Postage Table'!A:A, 'Fees &amp; Postage Table'!D:D, 0))</f>
        <v/>
      </c>
      <c r="H901">
        <f>IF(ISBLANK(A901), "", B901 - E901 - F901 - G901)</f>
        <v/>
      </c>
      <c r="I901">
        <f>IF(ISBLANK(A901), "", D901 - XLOOKUP(A901, Inventory!A:A, Inventory!H:H, TODAY()))</f>
        <v/>
      </c>
    </row>
    <row r="902">
      <c r="E902">
        <f>IF(ISBLANK(A902), "", XLOOKUP(A902, Inventory!A:A, Inventory!E:E, 0))</f>
        <v/>
      </c>
      <c r="F902">
        <f>IF(ISBLANK(A902), "", (B902 * XLOOKUP(C902, 'Fees &amp; Postage Table'!A:A, 'Fees &amp; Postage Table'!C:C, 0)) + XLOOKUP(C902, 'Fees &amp; Postage Table'!A:A, 'Fees &amp; Postage Table'!B:B, 0))</f>
        <v/>
      </c>
      <c r="G902">
        <f>IF(ISBLANK(A902), "", XLOOKUP(C902, 'Fees &amp; Postage Table'!A:A, 'Fees &amp; Postage Table'!D:D, 0))</f>
        <v/>
      </c>
      <c r="H902">
        <f>IF(ISBLANK(A902), "", B902 - E902 - F902 - G902)</f>
        <v/>
      </c>
      <c r="I902">
        <f>IF(ISBLANK(A902), "", D902 - XLOOKUP(A902, Inventory!A:A, Inventory!H:H, TODAY()))</f>
        <v/>
      </c>
    </row>
    <row r="903">
      <c r="E903">
        <f>IF(ISBLANK(A903), "", XLOOKUP(A903, Inventory!A:A, Inventory!E:E, 0))</f>
        <v/>
      </c>
      <c r="F903">
        <f>IF(ISBLANK(A903), "", (B903 * XLOOKUP(C903, 'Fees &amp; Postage Table'!A:A, 'Fees &amp; Postage Table'!C:C, 0)) + XLOOKUP(C903, 'Fees &amp; Postage Table'!A:A, 'Fees &amp; Postage Table'!B:B, 0))</f>
        <v/>
      </c>
      <c r="G903">
        <f>IF(ISBLANK(A903), "", XLOOKUP(C903, 'Fees &amp; Postage Table'!A:A, 'Fees &amp; Postage Table'!D:D, 0))</f>
        <v/>
      </c>
      <c r="H903">
        <f>IF(ISBLANK(A903), "", B903 - E903 - F903 - G903)</f>
        <v/>
      </c>
      <c r="I903">
        <f>IF(ISBLANK(A903), "", D903 - XLOOKUP(A903, Inventory!A:A, Inventory!H:H, TODAY()))</f>
        <v/>
      </c>
    </row>
    <row r="904">
      <c r="E904">
        <f>IF(ISBLANK(A904), "", XLOOKUP(A904, Inventory!A:A, Inventory!E:E, 0))</f>
        <v/>
      </c>
      <c r="F904">
        <f>IF(ISBLANK(A904), "", (B904 * XLOOKUP(C904, 'Fees &amp; Postage Table'!A:A, 'Fees &amp; Postage Table'!C:C, 0)) + XLOOKUP(C904, 'Fees &amp; Postage Table'!A:A, 'Fees &amp; Postage Table'!B:B, 0))</f>
        <v/>
      </c>
      <c r="G904">
        <f>IF(ISBLANK(A904), "", XLOOKUP(C904, 'Fees &amp; Postage Table'!A:A, 'Fees &amp; Postage Table'!D:D, 0))</f>
        <v/>
      </c>
      <c r="H904">
        <f>IF(ISBLANK(A904), "", B904 - E904 - F904 - G904)</f>
        <v/>
      </c>
      <c r="I904">
        <f>IF(ISBLANK(A904), "", D904 - XLOOKUP(A904, Inventory!A:A, Inventory!H:H, TODAY()))</f>
        <v/>
      </c>
    </row>
    <row r="905">
      <c r="E905">
        <f>IF(ISBLANK(A905), "", XLOOKUP(A905, Inventory!A:A, Inventory!E:E, 0))</f>
        <v/>
      </c>
      <c r="F905">
        <f>IF(ISBLANK(A905), "", (B905 * XLOOKUP(C905, 'Fees &amp; Postage Table'!A:A, 'Fees &amp; Postage Table'!C:C, 0)) + XLOOKUP(C905, 'Fees &amp; Postage Table'!A:A, 'Fees &amp; Postage Table'!B:B, 0))</f>
        <v/>
      </c>
      <c r="G905">
        <f>IF(ISBLANK(A905), "", XLOOKUP(C905, 'Fees &amp; Postage Table'!A:A, 'Fees &amp; Postage Table'!D:D, 0))</f>
        <v/>
      </c>
      <c r="H905">
        <f>IF(ISBLANK(A905), "", B905 - E905 - F905 - G905)</f>
        <v/>
      </c>
      <c r="I905">
        <f>IF(ISBLANK(A905), "", D905 - XLOOKUP(A905, Inventory!A:A, Inventory!H:H, TODAY()))</f>
        <v/>
      </c>
    </row>
    <row r="906">
      <c r="E906">
        <f>IF(ISBLANK(A906), "", XLOOKUP(A906, Inventory!A:A, Inventory!E:E, 0))</f>
        <v/>
      </c>
      <c r="F906">
        <f>IF(ISBLANK(A906), "", (B906 * XLOOKUP(C906, 'Fees &amp; Postage Table'!A:A, 'Fees &amp; Postage Table'!C:C, 0)) + XLOOKUP(C906, 'Fees &amp; Postage Table'!A:A, 'Fees &amp; Postage Table'!B:B, 0))</f>
        <v/>
      </c>
      <c r="G906">
        <f>IF(ISBLANK(A906), "", XLOOKUP(C906, 'Fees &amp; Postage Table'!A:A, 'Fees &amp; Postage Table'!D:D, 0))</f>
        <v/>
      </c>
      <c r="H906">
        <f>IF(ISBLANK(A906), "", B906 - E906 - F906 - G906)</f>
        <v/>
      </c>
      <c r="I906">
        <f>IF(ISBLANK(A906), "", D906 - XLOOKUP(A906, Inventory!A:A, Inventory!H:H, TODAY()))</f>
        <v/>
      </c>
    </row>
    <row r="907">
      <c r="E907">
        <f>IF(ISBLANK(A907), "", XLOOKUP(A907, Inventory!A:A, Inventory!E:E, 0))</f>
        <v/>
      </c>
      <c r="F907">
        <f>IF(ISBLANK(A907), "", (B907 * XLOOKUP(C907, 'Fees &amp; Postage Table'!A:A, 'Fees &amp; Postage Table'!C:C, 0)) + XLOOKUP(C907, 'Fees &amp; Postage Table'!A:A, 'Fees &amp; Postage Table'!B:B, 0))</f>
        <v/>
      </c>
      <c r="G907">
        <f>IF(ISBLANK(A907), "", XLOOKUP(C907, 'Fees &amp; Postage Table'!A:A, 'Fees &amp; Postage Table'!D:D, 0))</f>
        <v/>
      </c>
      <c r="H907">
        <f>IF(ISBLANK(A907), "", B907 - E907 - F907 - G907)</f>
        <v/>
      </c>
      <c r="I907">
        <f>IF(ISBLANK(A907), "", D907 - XLOOKUP(A907, Inventory!A:A, Inventory!H:H, TODAY()))</f>
        <v/>
      </c>
    </row>
    <row r="908">
      <c r="E908">
        <f>IF(ISBLANK(A908), "", XLOOKUP(A908, Inventory!A:A, Inventory!E:E, 0))</f>
        <v/>
      </c>
      <c r="F908">
        <f>IF(ISBLANK(A908), "", (B908 * XLOOKUP(C908, 'Fees &amp; Postage Table'!A:A, 'Fees &amp; Postage Table'!C:C, 0)) + XLOOKUP(C908, 'Fees &amp; Postage Table'!A:A, 'Fees &amp; Postage Table'!B:B, 0))</f>
        <v/>
      </c>
      <c r="G908">
        <f>IF(ISBLANK(A908), "", XLOOKUP(C908, 'Fees &amp; Postage Table'!A:A, 'Fees &amp; Postage Table'!D:D, 0))</f>
        <v/>
      </c>
      <c r="H908">
        <f>IF(ISBLANK(A908), "", B908 - E908 - F908 - G908)</f>
        <v/>
      </c>
      <c r="I908">
        <f>IF(ISBLANK(A908), "", D908 - XLOOKUP(A908, Inventory!A:A, Inventory!H:H, TODAY()))</f>
        <v/>
      </c>
    </row>
    <row r="909">
      <c r="E909">
        <f>IF(ISBLANK(A909), "", XLOOKUP(A909, Inventory!A:A, Inventory!E:E, 0))</f>
        <v/>
      </c>
      <c r="F909">
        <f>IF(ISBLANK(A909), "", (B909 * XLOOKUP(C909, 'Fees &amp; Postage Table'!A:A, 'Fees &amp; Postage Table'!C:C, 0)) + XLOOKUP(C909, 'Fees &amp; Postage Table'!A:A, 'Fees &amp; Postage Table'!B:B, 0))</f>
        <v/>
      </c>
      <c r="G909">
        <f>IF(ISBLANK(A909), "", XLOOKUP(C909, 'Fees &amp; Postage Table'!A:A, 'Fees &amp; Postage Table'!D:D, 0))</f>
        <v/>
      </c>
      <c r="H909">
        <f>IF(ISBLANK(A909), "", B909 - E909 - F909 - G909)</f>
        <v/>
      </c>
      <c r="I909">
        <f>IF(ISBLANK(A909), "", D909 - XLOOKUP(A909, Inventory!A:A, Inventory!H:H, TODAY()))</f>
        <v/>
      </c>
    </row>
    <row r="910">
      <c r="E910">
        <f>IF(ISBLANK(A910), "", XLOOKUP(A910, Inventory!A:A, Inventory!E:E, 0))</f>
        <v/>
      </c>
      <c r="F910">
        <f>IF(ISBLANK(A910), "", (B910 * XLOOKUP(C910, 'Fees &amp; Postage Table'!A:A, 'Fees &amp; Postage Table'!C:C, 0)) + XLOOKUP(C910, 'Fees &amp; Postage Table'!A:A, 'Fees &amp; Postage Table'!B:B, 0))</f>
        <v/>
      </c>
      <c r="G910">
        <f>IF(ISBLANK(A910), "", XLOOKUP(C910, 'Fees &amp; Postage Table'!A:A, 'Fees &amp; Postage Table'!D:D, 0))</f>
        <v/>
      </c>
      <c r="H910">
        <f>IF(ISBLANK(A910), "", B910 - E910 - F910 - G910)</f>
        <v/>
      </c>
      <c r="I910">
        <f>IF(ISBLANK(A910), "", D910 - XLOOKUP(A910, Inventory!A:A, Inventory!H:H, TODAY()))</f>
        <v/>
      </c>
    </row>
    <row r="911">
      <c r="E911">
        <f>IF(ISBLANK(A911), "", XLOOKUP(A911, Inventory!A:A, Inventory!E:E, 0))</f>
        <v/>
      </c>
      <c r="F911">
        <f>IF(ISBLANK(A911), "", (B911 * XLOOKUP(C911, 'Fees &amp; Postage Table'!A:A, 'Fees &amp; Postage Table'!C:C, 0)) + XLOOKUP(C911, 'Fees &amp; Postage Table'!A:A, 'Fees &amp; Postage Table'!B:B, 0))</f>
        <v/>
      </c>
      <c r="G911">
        <f>IF(ISBLANK(A911), "", XLOOKUP(C911, 'Fees &amp; Postage Table'!A:A, 'Fees &amp; Postage Table'!D:D, 0))</f>
        <v/>
      </c>
      <c r="H911">
        <f>IF(ISBLANK(A911), "", B911 - E911 - F911 - G911)</f>
        <v/>
      </c>
      <c r="I911">
        <f>IF(ISBLANK(A911), "", D911 - XLOOKUP(A911, Inventory!A:A, Inventory!H:H, TODAY()))</f>
        <v/>
      </c>
    </row>
    <row r="912">
      <c r="E912">
        <f>IF(ISBLANK(A912), "", XLOOKUP(A912, Inventory!A:A, Inventory!E:E, 0))</f>
        <v/>
      </c>
      <c r="F912">
        <f>IF(ISBLANK(A912), "", (B912 * XLOOKUP(C912, 'Fees &amp; Postage Table'!A:A, 'Fees &amp; Postage Table'!C:C, 0)) + XLOOKUP(C912, 'Fees &amp; Postage Table'!A:A, 'Fees &amp; Postage Table'!B:B, 0))</f>
        <v/>
      </c>
      <c r="G912">
        <f>IF(ISBLANK(A912), "", XLOOKUP(C912, 'Fees &amp; Postage Table'!A:A, 'Fees &amp; Postage Table'!D:D, 0))</f>
        <v/>
      </c>
      <c r="H912">
        <f>IF(ISBLANK(A912), "", B912 - E912 - F912 - G912)</f>
        <v/>
      </c>
      <c r="I912">
        <f>IF(ISBLANK(A912), "", D912 - XLOOKUP(A912, Inventory!A:A, Inventory!H:H, TODAY()))</f>
        <v/>
      </c>
    </row>
    <row r="913">
      <c r="E913">
        <f>IF(ISBLANK(A913), "", XLOOKUP(A913, Inventory!A:A, Inventory!E:E, 0))</f>
        <v/>
      </c>
      <c r="F913">
        <f>IF(ISBLANK(A913), "", (B913 * XLOOKUP(C913, 'Fees &amp; Postage Table'!A:A, 'Fees &amp; Postage Table'!C:C, 0)) + XLOOKUP(C913, 'Fees &amp; Postage Table'!A:A, 'Fees &amp; Postage Table'!B:B, 0))</f>
        <v/>
      </c>
      <c r="G913">
        <f>IF(ISBLANK(A913), "", XLOOKUP(C913, 'Fees &amp; Postage Table'!A:A, 'Fees &amp; Postage Table'!D:D, 0))</f>
        <v/>
      </c>
      <c r="H913">
        <f>IF(ISBLANK(A913), "", B913 - E913 - F913 - G913)</f>
        <v/>
      </c>
      <c r="I913">
        <f>IF(ISBLANK(A913), "", D913 - XLOOKUP(A913, Inventory!A:A, Inventory!H:H, TODAY()))</f>
        <v/>
      </c>
    </row>
    <row r="914">
      <c r="E914">
        <f>IF(ISBLANK(A914), "", XLOOKUP(A914, Inventory!A:A, Inventory!E:E, 0))</f>
        <v/>
      </c>
      <c r="F914">
        <f>IF(ISBLANK(A914), "", (B914 * XLOOKUP(C914, 'Fees &amp; Postage Table'!A:A, 'Fees &amp; Postage Table'!C:C, 0)) + XLOOKUP(C914, 'Fees &amp; Postage Table'!A:A, 'Fees &amp; Postage Table'!B:B, 0))</f>
        <v/>
      </c>
      <c r="G914">
        <f>IF(ISBLANK(A914), "", XLOOKUP(C914, 'Fees &amp; Postage Table'!A:A, 'Fees &amp; Postage Table'!D:D, 0))</f>
        <v/>
      </c>
      <c r="H914">
        <f>IF(ISBLANK(A914), "", B914 - E914 - F914 - G914)</f>
        <v/>
      </c>
      <c r="I914">
        <f>IF(ISBLANK(A914), "", D914 - XLOOKUP(A914, Inventory!A:A, Inventory!H:H, TODAY()))</f>
        <v/>
      </c>
    </row>
    <row r="915">
      <c r="E915">
        <f>IF(ISBLANK(A915), "", XLOOKUP(A915, Inventory!A:A, Inventory!E:E, 0))</f>
        <v/>
      </c>
      <c r="F915">
        <f>IF(ISBLANK(A915), "", (B915 * XLOOKUP(C915, 'Fees &amp; Postage Table'!A:A, 'Fees &amp; Postage Table'!C:C, 0)) + XLOOKUP(C915, 'Fees &amp; Postage Table'!A:A, 'Fees &amp; Postage Table'!B:B, 0))</f>
        <v/>
      </c>
      <c r="G915">
        <f>IF(ISBLANK(A915), "", XLOOKUP(C915, 'Fees &amp; Postage Table'!A:A, 'Fees &amp; Postage Table'!D:D, 0))</f>
        <v/>
      </c>
      <c r="H915">
        <f>IF(ISBLANK(A915), "", B915 - E915 - F915 - G915)</f>
        <v/>
      </c>
      <c r="I915">
        <f>IF(ISBLANK(A915), "", D915 - XLOOKUP(A915, Inventory!A:A, Inventory!H:H, TODAY()))</f>
        <v/>
      </c>
    </row>
    <row r="916">
      <c r="E916">
        <f>IF(ISBLANK(A916), "", XLOOKUP(A916, Inventory!A:A, Inventory!E:E, 0))</f>
        <v/>
      </c>
      <c r="F916">
        <f>IF(ISBLANK(A916), "", (B916 * XLOOKUP(C916, 'Fees &amp; Postage Table'!A:A, 'Fees &amp; Postage Table'!C:C, 0)) + XLOOKUP(C916, 'Fees &amp; Postage Table'!A:A, 'Fees &amp; Postage Table'!B:B, 0))</f>
        <v/>
      </c>
      <c r="G916">
        <f>IF(ISBLANK(A916), "", XLOOKUP(C916, 'Fees &amp; Postage Table'!A:A, 'Fees &amp; Postage Table'!D:D, 0))</f>
        <v/>
      </c>
      <c r="H916">
        <f>IF(ISBLANK(A916), "", B916 - E916 - F916 - G916)</f>
        <v/>
      </c>
      <c r="I916">
        <f>IF(ISBLANK(A916), "", D916 - XLOOKUP(A916, Inventory!A:A, Inventory!H:H, TODAY()))</f>
        <v/>
      </c>
    </row>
    <row r="917">
      <c r="E917">
        <f>IF(ISBLANK(A917), "", XLOOKUP(A917, Inventory!A:A, Inventory!E:E, 0))</f>
        <v/>
      </c>
      <c r="F917">
        <f>IF(ISBLANK(A917), "", (B917 * XLOOKUP(C917, 'Fees &amp; Postage Table'!A:A, 'Fees &amp; Postage Table'!C:C, 0)) + XLOOKUP(C917, 'Fees &amp; Postage Table'!A:A, 'Fees &amp; Postage Table'!B:B, 0))</f>
        <v/>
      </c>
      <c r="G917">
        <f>IF(ISBLANK(A917), "", XLOOKUP(C917, 'Fees &amp; Postage Table'!A:A, 'Fees &amp; Postage Table'!D:D, 0))</f>
        <v/>
      </c>
      <c r="H917">
        <f>IF(ISBLANK(A917), "", B917 - E917 - F917 - G917)</f>
        <v/>
      </c>
      <c r="I917">
        <f>IF(ISBLANK(A917), "", D917 - XLOOKUP(A917, Inventory!A:A, Inventory!H:H, TODAY()))</f>
        <v/>
      </c>
    </row>
    <row r="918">
      <c r="E918">
        <f>IF(ISBLANK(A918), "", XLOOKUP(A918, Inventory!A:A, Inventory!E:E, 0))</f>
        <v/>
      </c>
      <c r="F918">
        <f>IF(ISBLANK(A918), "", (B918 * XLOOKUP(C918, 'Fees &amp; Postage Table'!A:A, 'Fees &amp; Postage Table'!C:C, 0)) + XLOOKUP(C918, 'Fees &amp; Postage Table'!A:A, 'Fees &amp; Postage Table'!B:B, 0))</f>
        <v/>
      </c>
      <c r="G918">
        <f>IF(ISBLANK(A918), "", XLOOKUP(C918, 'Fees &amp; Postage Table'!A:A, 'Fees &amp; Postage Table'!D:D, 0))</f>
        <v/>
      </c>
      <c r="H918">
        <f>IF(ISBLANK(A918), "", B918 - E918 - F918 - G918)</f>
        <v/>
      </c>
      <c r="I918">
        <f>IF(ISBLANK(A918), "", D918 - XLOOKUP(A918, Inventory!A:A, Inventory!H:H, TODAY()))</f>
        <v/>
      </c>
    </row>
    <row r="919">
      <c r="E919">
        <f>IF(ISBLANK(A919), "", XLOOKUP(A919, Inventory!A:A, Inventory!E:E, 0))</f>
        <v/>
      </c>
      <c r="F919">
        <f>IF(ISBLANK(A919), "", (B919 * XLOOKUP(C919, 'Fees &amp; Postage Table'!A:A, 'Fees &amp; Postage Table'!C:C, 0)) + XLOOKUP(C919, 'Fees &amp; Postage Table'!A:A, 'Fees &amp; Postage Table'!B:B, 0))</f>
        <v/>
      </c>
      <c r="G919">
        <f>IF(ISBLANK(A919), "", XLOOKUP(C919, 'Fees &amp; Postage Table'!A:A, 'Fees &amp; Postage Table'!D:D, 0))</f>
        <v/>
      </c>
      <c r="H919">
        <f>IF(ISBLANK(A919), "", B919 - E919 - F919 - G919)</f>
        <v/>
      </c>
      <c r="I919">
        <f>IF(ISBLANK(A919), "", D919 - XLOOKUP(A919, Inventory!A:A, Inventory!H:H, TODAY()))</f>
        <v/>
      </c>
    </row>
    <row r="920">
      <c r="E920">
        <f>IF(ISBLANK(A920), "", XLOOKUP(A920, Inventory!A:A, Inventory!E:E, 0))</f>
        <v/>
      </c>
      <c r="F920">
        <f>IF(ISBLANK(A920), "", (B920 * XLOOKUP(C920, 'Fees &amp; Postage Table'!A:A, 'Fees &amp; Postage Table'!C:C, 0)) + XLOOKUP(C920, 'Fees &amp; Postage Table'!A:A, 'Fees &amp; Postage Table'!B:B, 0))</f>
        <v/>
      </c>
      <c r="G920">
        <f>IF(ISBLANK(A920), "", XLOOKUP(C920, 'Fees &amp; Postage Table'!A:A, 'Fees &amp; Postage Table'!D:D, 0))</f>
        <v/>
      </c>
      <c r="H920">
        <f>IF(ISBLANK(A920), "", B920 - E920 - F920 - G920)</f>
        <v/>
      </c>
      <c r="I920">
        <f>IF(ISBLANK(A920), "", D920 - XLOOKUP(A920, Inventory!A:A, Inventory!H:H, TODAY()))</f>
        <v/>
      </c>
    </row>
    <row r="921">
      <c r="E921">
        <f>IF(ISBLANK(A921), "", XLOOKUP(A921, Inventory!A:A, Inventory!E:E, 0))</f>
        <v/>
      </c>
      <c r="F921">
        <f>IF(ISBLANK(A921), "", (B921 * XLOOKUP(C921, 'Fees &amp; Postage Table'!A:A, 'Fees &amp; Postage Table'!C:C, 0)) + XLOOKUP(C921, 'Fees &amp; Postage Table'!A:A, 'Fees &amp; Postage Table'!B:B, 0))</f>
        <v/>
      </c>
      <c r="G921">
        <f>IF(ISBLANK(A921), "", XLOOKUP(C921, 'Fees &amp; Postage Table'!A:A, 'Fees &amp; Postage Table'!D:D, 0))</f>
        <v/>
      </c>
      <c r="H921">
        <f>IF(ISBLANK(A921), "", B921 - E921 - F921 - G921)</f>
        <v/>
      </c>
      <c r="I921">
        <f>IF(ISBLANK(A921), "", D921 - XLOOKUP(A921, Inventory!A:A, Inventory!H:H, TODAY()))</f>
        <v/>
      </c>
    </row>
    <row r="922">
      <c r="E922">
        <f>IF(ISBLANK(A922), "", XLOOKUP(A922, Inventory!A:A, Inventory!E:E, 0))</f>
        <v/>
      </c>
      <c r="F922">
        <f>IF(ISBLANK(A922), "", (B922 * XLOOKUP(C922, 'Fees &amp; Postage Table'!A:A, 'Fees &amp; Postage Table'!C:C, 0)) + XLOOKUP(C922, 'Fees &amp; Postage Table'!A:A, 'Fees &amp; Postage Table'!B:B, 0))</f>
        <v/>
      </c>
      <c r="G922">
        <f>IF(ISBLANK(A922), "", XLOOKUP(C922, 'Fees &amp; Postage Table'!A:A, 'Fees &amp; Postage Table'!D:D, 0))</f>
        <v/>
      </c>
      <c r="H922">
        <f>IF(ISBLANK(A922), "", B922 - E922 - F922 - G922)</f>
        <v/>
      </c>
      <c r="I922">
        <f>IF(ISBLANK(A922), "", D922 - XLOOKUP(A922, Inventory!A:A, Inventory!H:H, TODAY()))</f>
        <v/>
      </c>
    </row>
    <row r="923">
      <c r="E923">
        <f>IF(ISBLANK(A923), "", XLOOKUP(A923, Inventory!A:A, Inventory!E:E, 0))</f>
        <v/>
      </c>
      <c r="F923">
        <f>IF(ISBLANK(A923), "", (B923 * XLOOKUP(C923, 'Fees &amp; Postage Table'!A:A, 'Fees &amp; Postage Table'!C:C, 0)) + XLOOKUP(C923, 'Fees &amp; Postage Table'!A:A, 'Fees &amp; Postage Table'!B:B, 0))</f>
        <v/>
      </c>
      <c r="G923">
        <f>IF(ISBLANK(A923), "", XLOOKUP(C923, 'Fees &amp; Postage Table'!A:A, 'Fees &amp; Postage Table'!D:D, 0))</f>
        <v/>
      </c>
      <c r="H923">
        <f>IF(ISBLANK(A923), "", B923 - E923 - F923 - G923)</f>
        <v/>
      </c>
      <c r="I923">
        <f>IF(ISBLANK(A923), "", D923 - XLOOKUP(A923, Inventory!A:A, Inventory!H:H, TODAY()))</f>
        <v/>
      </c>
    </row>
    <row r="924">
      <c r="E924">
        <f>IF(ISBLANK(A924), "", XLOOKUP(A924, Inventory!A:A, Inventory!E:E, 0))</f>
        <v/>
      </c>
      <c r="F924">
        <f>IF(ISBLANK(A924), "", (B924 * XLOOKUP(C924, 'Fees &amp; Postage Table'!A:A, 'Fees &amp; Postage Table'!C:C, 0)) + XLOOKUP(C924, 'Fees &amp; Postage Table'!A:A, 'Fees &amp; Postage Table'!B:B, 0))</f>
        <v/>
      </c>
      <c r="G924">
        <f>IF(ISBLANK(A924), "", XLOOKUP(C924, 'Fees &amp; Postage Table'!A:A, 'Fees &amp; Postage Table'!D:D, 0))</f>
        <v/>
      </c>
      <c r="H924">
        <f>IF(ISBLANK(A924), "", B924 - E924 - F924 - G924)</f>
        <v/>
      </c>
      <c r="I924">
        <f>IF(ISBLANK(A924), "", D924 - XLOOKUP(A924, Inventory!A:A, Inventory!H:H, TODAY()))</f>
        <v/>
      </c>
    </row>
    <row r="925">
      <c r="E925">
        <f>IF(ISBLANK(A925), "", XLOOKUP(A925, Inventory!A:A, Inventory!E:E, 0))</f>
        <v/>
      </c>
      <c r="F925">
        <f>IF(ISBLANK(A925), "", (B925 * XLOOKUP(C925, 'Fees &amp; Postage Table'!A:A, 'Fees &amp; Postage Table'!C:C, 0)) + XLOOKUP(C925, 'Fees &amp; Postage Table'!A:A, 'Fees &amp; Postage Table'!B:B, 0))</f>
        <v/>
      </c>
      <c r="G925">
        <f>IF(ISBLANK(A925), "", XLOOKUP(C925, 'Fees &amp; Postage Table'!A:A, 'Fees &amp; Postage Table'!D:D, 0))</f>
        <v/>
      </c>
      <c r="H925">
        <f>IF(ISBLANK(A925), "", B925 - E925 - F925 - G925)</f>
        <v/>
      </c>
      <c r="I925">
        <f>IF(ISBLANK(A925), "", D925 - XLOOKUP(A925, Inventory!A:A, Inventory!H:H, TODAY()))</f>
        <v/>
      </c>
    </row>
    <row r="926">
      <c r="E926">
        <f>IF(ISBLANK(A926), "", XLOOKUP(A926, Inventory!A:A, Inventory!E:E, 0))</f>
        <v/>
      </c>
      <c r="F926">
        <f>IF(ISBLANK(A926), "", (B926 * XLOOKUP(C926, 'Fees &amp; Postage Table'!A:A, 'Fees &amp; Postage Table'!C:C, 0)) + XLOOKUP(C926, 'Fees &amp; Postage Table'!A:A, 'Fees &amp; Postage Table'!B:B, 0))</f>
        <v/>
      </c>
      <c r="G926">
        <f>IF(ISBLANK(A926), "", XLOOKUP(C926, 'Fees &amp; Postage Table'!A:A, 'Fees &amp; Postage Table'!D:D, 0))</f>
        <v/>
      </c>
      <c r="H926">
        <f>IF(ISBLANK(A926), "", B926 - E926 - F926 - G926)</f>
        <v/>
      </c>
      <c r="I926">
        <f>IF(ISBLANK(A926), "", D926 - XLOOKUP(A926, Inventory!A:A, Inventory!H:H, TODAY()))</f>
        <v/>
      </c>
    </row>
    <row r="927">
      <c r="E927">
        <f>IF(ISBLANK(A927), "", XLOOKUP(A927, Inventory!A:A, Inventory!E:E, 0))</f>
        <v/>
      </c>
      <c r="F927">
        <f>IF(ISBLANK(A927), "", (B927 * XLOOKUP(C927, 'Fees &amp; Postage Table'!A:A, 'Fees &amp; Postage Table'!C:C, 0)) + XLOOKUP(C927, 'Fees &amp; Postage Table'!A:A, 'Fees &amp; Postage Table'!B:B, 0))</f>
        <v/>
      </c>
      <c r="G927">
        <f>IF(ISBLANK(A927), "", XLOOKUP(C927, 'Fees &amp; Postage Table'!A:A, 'Fees &amp; Postage Table'!D:D, 0))</f>
        <v/>
      </c>
      <c r="H927">
        <f>IF(ISBLANK(A927), "", B927 - E927 - F927 - G927)</f>
        <v/>
      </c>
      <c r="I927">
        <f>IF(ISBLANK(A927), "", D927 - XLOOKUP(A927, Inventory!A:A, Inventory!H:H, TODAY()))</f>
        <v/>
      </c>
    </row>
    <row r="928">
      <c r="E928">
        <f>IF(ISBLANK(A928), "", XLOOKUP(A928, Inventory!A:A, Inventory!E:E, 0))</f>
        <v/>
      </c>
      <c r="F928">
        <f>IF(ISBLANK(A928), "", (B928 * XLOOKUP(C928, 'Fees &amp; Postage Table'!A:A, 'Fees &amp; Postage Table'!C:C, 0)) + XLOOKUP(C928, 'Fees &amp; Postage Table'!A:A, 'Fees &amp; Postage Table'!B:B, 0))</f>
        <v/>
      </c>
      <c r="G928">
        <f>IF(ISBLANK(A928), "", XLOOKUP(C928, 'Fees &amp; Postage Table'!A:A, 'Fees &amp; Postage Table'!D:D, 0))</f>
        <v/>
      </c>
      <c r="H928">
        <f>IF(ISBLANK(A928), "", B928 - E928 - F928 - G928)</f>
        <v/>
      </c>
      <c r="I928">
        <f>IF(ISBLANK(A928), "", D928 - XLOOKUP(A928, Inventory!A:A, Inventory!H:H, TODAY()))</f>
        <v/>
      </c>
    </row>
    <row r="929">
      <c r="E929">
        <f>IF(ISBLANK(A929), "", XLOOKUP(A929, Inventory!A:A, Inventory!E:E, 0))</f>
        <v/>
      </c>
      <c r="F929">
        <f>IF(ISBLANK(A929), "", (B929 * XLOOKUP(C929, 'Fees &amp; Postage Table'!A:A, 'Fees &amp; Postage Table'!C:C, 0)) + XLOOKUP(C929, 'Fees &amp; Postage Table'!A:A, 'Fees &amp; Postage Table'!B:B, 0))</f>
        <v/>
      </c>
      <c r="G929">
        <f>IF(ISBLANK(A929), "", XLOOKUP(C929, 'Fees &amp; Postage Table'!A:A, 'Fees &amp; Postage Table'!D:D, 0))</f>
        <v/>
      </c>
      <c r="H929">
        <f>IF(ISBLANK(A929), "", B929 - E929 - F929 - G929)</f>
        <v/>
      </c>
      <c r="I929">
        <f>IF(ISBLANK(A929), "", D929 - XLOOKUP(A929, Inventory!A:A, Inventory!H:H, TODAY()))</f>
        <v/>
      </c>
    </row>
    <row r="930">
      <c r="E930">
        <f>IF(ISBLANK(A930), "", XLOOKUP(A930, Inventory!A:A, Inventory!E:E, 0))</f>
        <v/>
      </c>
      <c r="F930">
        <f>IF(ISBLANK(A930), "", (B930 * XLOOKUP(C930, 'Fees &amp; Postage Table'!A:A, 'Fees &amp; Postage Table'!C:C, 0)) + XLOOKUP(C930, 'Fees &amp; Postage Table'!A:A, 'Fees &amp; Postage Table'!B:B, 0))</f>
        <v/>
      </c>
      <c r="G930">
        <f>IF(ISBLANK(A930), "", XLOOKUP(C930, 'Fees &amp; Postage Table'!A:A, 'Fees &amp; Postage Table'!D:D, 0))</f>
        <v/>
      </c>
      <c r="H930">
        <f>IF(ISBLANK(A930), "", B930 - E930 - F930 - G930)</f>
        <v/>
      </c>
      <c r="I930">
        <f>IF(ISBLANK(A930), "", D930 - XLOOKUP(A930, Inventory!A:A, Inventory!H:H, TODAY()))</f>
        <v/>
      </c>
    </row>
    <row r="931">
      <c r="E931">
        <f>IF(ISBLANK(A931), "", XLOOKUP(A931, Inventory!A:A, Inventory!E:E, 0))</f>
        <v/>
      </c>
      <c r="F931">
        <f>IF(ISBLANK(A931), "", (B931 * XLOOKUP(C931, 'Fees &amp; Postage Table'!A:A, 'Fees &amp; Postage Table'!C:C, 0)) + XLOOKUP(C931, 'Fees &amp; Postage Table'!A:A, 'Fees &amp; Postage Table'!B:B, 0))</f>
        <v/>
      </c>
      <c r="G931">
        <f>IF(ISBLANK(A931), "", XLOOKUP(C931, 'Fees &amp; Postage Table'!A:A, 'Fees &amp; Postage Table'!D:D, 0))</f>
        <v/>
      </c>
      <c r="H931">
        <f>IF(ISBLANK(A931), "", B931 - E931 - F931 - G931)</f>
        <v/>
      </c>
      <c r="I931">
        <f>IF(ISBLANK(A931), "", D931 - XLOOKUP(A931, Inventory!A:A, Inventory!H:H, TODAY()))</f>
        <v/>
      </c>
    </row>
    <row r="932">
      <c r="E932">
        <f>IF(ISBLANK(A932), "", XLOOKUP(A932, Inventory!A:A, Inventory!E:E, 0))</f>
        <v/>
      </c>
      <c r="F932">
        <f>IF(ISBLANK(A932), "", (B932 * XLOOKUP(C932, 'Fees &amp; Postage Table'!A:A, 'Fees &amp; Postage Table'!C:C, 0)) + XLOOKUP(C932, 'Fees &amp; Postage Table'!A:A, 'Fees &amp; Postage Table'!B:B, 0))</f>
        <v/>
      </c>
      <c r="G932">
        <f>IF(ISBLANK(A932), "", XLOOKUP(C932, 'Fees &amp; Postage Table'!A:A, 'Fees &amp; Postage Table'!D:D, 0))</f>
        <v/>
      </c>
      <c r="H932">
        <f>IF(ISBLANK(A932), "", B932 - E932 - F932 - G932)</f>
        <v/>
      </c>
      <c r="I932">
        <f>IF(ISBLANK(A932), "", D932 - XLOOKUP(A932, Inventory!A:A, Inventory!H:H, TODAY()))</f>
        <v/>
      </c>
    </row>
    <row r="933">
      <c r="E933">
        <f>IF(ISBLANK(A933), "", XLOOKUP(A933, Inventory!A:A, Inventory!E:E, 0))</f>
        <v/>
      </c>
      <c r="F933">
        <f>IF(ISBLANK(A933), "", (B933 * XLOOKUP(C933, 'Fees &amp; Postage Table'!A:A, 'Fees &amp; Postage Table'!C:C, 0)) + XLOOKUP(C933, 'Fees &amp; Postage Table'!A:A, 'Fees &amp; Postage Table'!B:B, 0))</f>
        <v/>
      </c>
      <c r="G933">
        <f>IF(ISBLANK(A933), "", XLOOKUP(C933, 'Fees &amp; Postage Table'!A:A, 'Fees &amp; Postage Table'!D:D, 0))</f>
        <v/>
      </c>
      <c r="H933">
        <f>IF(ISBLANK(A933), "", B933 - E933 - F933 - G933)</f>
        <v/>
      </c>
      <c r="I933">
        <f>IF(ISBLANK(A933), "", D933 - XLOOKUP(A933, Inventory!A:A, Inventory!H:H, TODAY()))</f>
        <v/>
      </c>
    </row>
    <row r="934">
      <c r="E934">
        <f>IF(ISBLANK(A934), "", XLOOKUP(A934, Inventory!A:A, Inventory!E:E, 0))</f>
        <v/>
      </c>
      <c r="F934">
        <f>IF(ISBLANK(A934), "", (B934 * XLOOKUP(C934, 'Fees &amp; Postage Table'!A:A, 'Fees &amp; Postage Table'!C:C, 0)) + XLOOKUP(C934, 'Fees &amp; Postage Table'!A:A, 'Fees &amp; Postage Table'!B:B, 0))</f>
        <v/>
      </c>
      <c r="G934">
        <f>IF(ISBLANK(A934), "", XLOOKUP(C934, 'Fees &amp; Postage Table'!A:A, 'Fees &amp; Postage Table'!D:D, 0))</f>
        <v/>
      </c>
      <c r="H934">
        <f>IF(ISBLANK(A934), "", B934 - E934 - F934 - G934)</f>
        <v/>
      </c>
      <c r="I934">
        <f>IF(ISBLANK(A934), "", D934 - XLOOKUP(A934, Inventory!A:A, Inventory!H:H, TODAY()))</f>
        <v/>
      </c>
    </row>
    <row r="935">
      <c r="E935">
        <f>IF(ISBLANK(A935), "", XLOOKUP(A935, Inventory!A:A, Inventory!E:E, 0))</f>
        <v/>
      </c>
      <c r="F935">
        <f>IF(ISBLANK(A935), "", (B935 * XLOOKUP(C935, 'Fees &amp; Postage Table'!A:A, 'Fees &amp; Postage Table'!C:C, 0)) + XLOOKUP(C935, 'Fees &amp; Postage Table'!A:A, 'Fees &amp; Postage Table'!B:B, 0))</f>
        <v/>
      </c>
      <c r="G935">
        <f>IF(ISBLANK(A935), "", XLOOKUP(C935, 'Fees &amp; Postage Table'!A:A, 'Fees &amp; Postage Table'!D:D, 0))</f>
        <v/>
      </c>
      <c r="H935">
        <f>IF(ISBLANK(A935), "", B935 - E935 - F935 - G935)</f>
        <v/>
      </c>
      <c r="I935">
        <f>IF(ISBLANK(A935), "", D935 - XLOOKUP(A935, Inventory!A:A, Inventory!H:H, TODAY()))</f>
        <v/>
      </c>
    </row>
    <row r="936">
      <c r="E936">
        <f>IF(ISBLANK(A936), "", XLOOKUP(A936, Inventory!A:A, Inventory!E:E, 0))</f>
        <v/>
      </c>
      <c r="F936">
        <f>IF(ISBLANK(A936), "", (B936 * XLOOKUP(C936, 'Fees &amp; Postage Table'!A:A, 'Fees &amp; Postage Table'!C:C, 0)) + XLOOKUP(C936, 'Fees &amp; Postage Table'!A:A, 'Fees &amp; Postage Table'!B:B, 0))</f>
        <v/>
      </c>
      <c r="G936">
        <f>IF(ISBLANK(A936), "", XLOOKUP(C936, 'Fees &amp; Postage Table'!A:A, 'Fees &amp; Postage Table'!D:D, 0))</f>
        <v/>
      </c>
      <c r="H936">
        <f>IF(ISBLANK(A936), "", B936 - E936 - F936 - G936)</f>
        <v/>
      </c>
      <c r="I936">
        <f>IF(ISBLANK(A936), "", D936 - XLOOKUP(A936, Inventory!A:A, Inventory!H:H, TODAY()))</f>
        <v/>
      </c>
    </row>
    <row r="937">
      <c r="E937">
        <f>IF(ISBLANK(A937), "", XLOOKUP(A937, Inventory!A:A, Inventory!E:E, 0))</f>
        <v/>
      </c>
      <c r="F937">
        <f>IF(ISBLANK(A937), "", (B937 * XLOOKUP(C937, 'Fees &amp; Postage Table'!A:A, 'Fees &amp; Postage Table'!C:C, 0)) + XLOOKUP(C937, 'Fees &amp; Postage Table'!A:A, 'Fees &amp; Postage Table'!B:B, 0))</f>
        <v/>
      </c>
      <c r="G937">
        <f>IF(ISBLANK(A937), "", XLOOKUP(C937, 'Fees &amp; Postage Table'!A:A, 'Fees &amp; Postage Table'!D:D, 0))</f>
        <v/>
      </c>
      <c r="H937">
        <f>IF(ISBLANK(A937), "", B937 - E937 - F937 - G937)</f>
        <v/>
      </c>
      <c r="I937">
        <f>IF(ISBLANK(A937), "", D937 - XLOOKUP(A937, Inventory!A:A, Inventory!H:H, TODAY()))</f>
        <v/>
      </c>
    </row>
    <row r="938">
      <c r="E938">
        <f>IF(ISBLANK(A938), "", XLOOKUP(A938, Inventory!A:A, Inventory!E:E, 0))</f>
        <v/>
      </c>
      <c r="F938">
        <f>IF(ISBLANK(A938), "", (B938 * XLOOKUP(C938, 'Fees &amp; Postage Table'!A:A, 'Fees &amp; Postage Table'!C:C, 0)) + XLOOKUP(C938, 'Fees &amp; Postage Table'!A:A, 'Fees &amp; Postage Table'!B:B, 0))</f>
        <v/>
      </c>
      <c r="G938">
        <f>IF(ISBLANK(A938), "", XLOOKUP(C938, 'Fees &amp; Postage Table'!A:A, 'Fees &amp; Postage Table'!D:D, 0))</f>
        <v/>
      </c>
      <c r="H938">
        <f>IF(ISBLANK(A938), "", B938 - E938 - F938 - G938)</f>
        <v/>
      </c>
      <c r="I938">
        <f>IF(ISBLANK(A938), "", D938 - XLOOKUP(A938, Inventory!A:A, Inventory!H:H, TODAY()))</f>
        <v/>
      </c>
    </row>
    <row r="939">
      <c r="E939">
        <f>IF(ISBLANK(A939), "", XLOOKUP(A939, Inventory!A:A, Inventory!E:E, 0))</f>
        <v/>
      </c>
      <c r="F939">
        <f>IF(ISBLANK(A939), "", (B939 * XLOOKUP(C939, 'Fees &amp; Postage Table'!A:A, 'Fees &amp; Postage Table'!C:C, 0)) + XLOOKUP(C939, 'Fees &amp; Postage Table'!A:A, 'Fees &amp; Postage Table'!B:B, 0))</f>
        <v/>
      </c>
      <c r="G939">
        <f>IF(ISBLANK(A939), "", XLOOKUP(C939, 'Fees &amp; Postage Table'!A:A, 'Fees &amp; Postage Table'!D:D, 0))</f>
        <v/>
      </c>
      <c r="H939">
        <f>IF(ISBLANK(A939), "", B939 - E939 - F939 - G939)</f>
        <v/>
      </c>
      <c r="I939">
        <f>IF(ISBLANK(A939), "", D939 - XLOOKUP(A939, Inventory!A:A, Inventory!H:H, TODAY()))</f>
        <v/>
      </c>
    </row>
    <row r="940">
      <c r="E940">
        <f>IF(ISBLANK(A940), "", XLOOKUP(A940, Inventory!A:A, Inventory!E:E, 0))</f>
        <v/>
      </c>
      <c r="F940">
        <f>IF(ISBLANK(A940), "", (B940 * XLOOKUP(C940, 'Fees &amp; Postage Table'!A:A, 'Fees &amp; Postage Table'!C:C, 0)) + XLOOKUP(C940, 'Fees &amp; Postage Table'!A:A, 'Fees &amp; Postage Table'!B:B, 0))</f>
        <v/>
      </c>
      <c r="G940">
        <f>IF(ISBLANK(A940), "", XLOOKUP(C940, 'Fees &amp; Postage Table'!A:A, 'Fees &amp; Postage Table'!D:D, 0))</f>
        <v/>
      </c>
      <c r="H940">
        <f>IF(ISBLANK(A940), "", B940 - E940 - F940 - G940)</f>
        <v/>
      </c>
      <c r="I940">
        <f>IF(ISBLANK(A940), "", D940 - XLOOKUP(A940, Inventory!A:A, Inventory!H:H, TODAY()))</f>
        <v/>
      </c>
    </row>
    <row r="941">
      <c r="E941">
        <f>IF(ISBLANK(A941), "", XLOOKUP(A941, Inventory!A:A, Inventory!E:E, 0))</f>
        <v/>
      </c>
      <c r="F941">
        <f>IF(ISBLANK(A941), "", (B941 * XLOOKUP(C941, 'Fees &amp; Postage Table'!A:A, 'Fees &amp; Postage Table'!C:C, 0)) + XLOOKUP(C941, 'Fees &amp; Postage Table'!A:A, 'Fees &amp; Postage Table'!B:B, 0))</f>
        <v/>
      </c>
      <c r="G941">
        <f>IF(ISBLANK(A941), "", XLOOKUP(C941, 'Fees &amp; Postage Table'!A:A, 'Fees &amp; Postage Table'!D:D, 0))</f>
        <v/>
      </c>
      <c r="H941">
        <f>IF(ISBLANK(A941), "", B941 - E941 - F941 - G941)</f>
        <v/>
      </c>
      <c r="I941">
        <f>IF(ISBLANK(A941), "", D941 - XLOOKUP(A941, Inventory!A:A, Inventory!H:H, TODAY()))</f>
        <v/>
      </c>
    </row>
    <row r="942">
      <c r="E942">
        <f>IF(ISBLANK(A942), "", XLOOKUP(A942, Inventory!A:A, Inventory!E:E, 0))</f>
        <v/>
      </c>
      <c r="F942">
        <f>IF(ISBLANK(A942), "", (B942 * XLOOKUP(C942, 'Fees &amp; Postage Table'!A:A, 'Fees &amp; Postage Table'!C:C, 0)) + XLOOKUP(C942, 'Fees &amp; Postage Table'!A:A, 'Fees &amp; Postage Table'!B:B, 0))</f>
        <v/>
      </c>
      <c r="G942">
        <f>IF(ISBLANK(A942), "", XLOOKUP(C942, 'Fees &amp; Postage Table'!A:A, 'Fees &amp; Postage Table'!D:D, 0))</f>
        <v/>
      </c>
      <c r="H942">
        <f>IF(ISBLANK(A942), "", B942 - E942 - F942 - G942)</f>
        <v/>
      </c>
      <c r="I942">
        <f>IF(ISBLANK(A942), "", D942 - XLOOKUP(A942, Inventory!A:A, Inventory!H:H, TODAY()))</f>
        <v/>
      </c>
    </row>
    <row r="943">
      <c r="E943">
        <f>IF(ISBLANK(A943), "", XLOOKUP(A943, Inventory!A:A, Inventory!E:E, 0))</f>
        <v/>
      </c>
      <c r="F943">
        <f>IF(ISBLANK(A943), "", (B943 * XLOOKUP(C943, 'Fees &amp; Postage Table'!A:A, 'Fees &amp; Postage Table'!C:C, 0)) + XLOOKUP(C943, 'Fees &amp; Postage Table'!A:A, 'Fees &amp; Postage Table'!B:B, 0))</f>
        <v/>
      </c>
      <c r="G943">
        <f>IF(ISBLANK(A943), "", XLOOKUP(C943, 'Fees &amp; Postage Table'!A:A, 'Fees &amp; Postage Table'!D:D, 0))</f>
        <v/>
      </c>
      <c r="H943">
        <f>IF(ISBLANK(A943), "", B943 - E943 - F943 - G943)</f>
        <v/>
      </c>
      <c r="I943">
        <f>IF(ISBLANK(A943), "", D943 - XLOOKUP(A943, Inventory!A:A, Inventory!H:H, TODAY()))</f>
        <v/>
      </c>
    </row>
    <row r="944">
      <c r="E944">
        <f>IF(ISBLANK(A944), "", XLOOKUP(A944, Inventory!A:A, Inventory!E:E, 0))</f>
        <v/>
      </c>
      <c r="F944">
        <f>IF(ISBLANK(A944), "", (B944 * XLOOKUP(C944, 'Fees &amp; Postage Table'!A:A, 'Fees &amp; Postage Table'!C:C, 0)) + XLOOKUP(C944, 'Fees &amp; Postage Table'!A:A, 'Fees &amp; Postage Table'!B:B, 0))</f>
        <v/>
      </c>
      <c r="G944">
        <f>IF(ISBLANK(A944), "", XLOOKUP(C944, 'Fees &amp; Postage Table'!A:A, 'Fees &amp; Postage Table'!D:D, 0))</f>
        <v/>
      </c>
      <c r="H944">
        <f>IF(ISBLANK(A944), "", B944 - E944 - F944 - G944)</f>
        <v/>
      </c>
      <c r="I944">
        <f>IF(ISBLANK(A944), "", D944 - XLOOKUP(A944, Inventory!A:A, Inventory!H:H, TODAY()))</f>
        <v/>
      </c>
    </row>
    <row r="945">
      <c r="E945">
        <f>IF(ISBLANK(A945), "", XLOOKUP(A945, Inventory!A:A, Inventory!E:E, 0))</f>
        <v/>
      </c>
      <c r="F945">
        <f>IF(ISBLANK(A945), "", (B945 * XLOOKUP(C945, 'Fees &amp; Postage Table'!A:A, 'Fees &amp; Postage Table'!C:C, 0)) + XLOOKUP(C945, 'Fees &amp; Postage Table'!A:A, 'Fees &amp; Postage Table'!B:B, 0))</f>
        <v/>
      </c>
      <c r="G945">
        <f>IF(ISBLANK(A945), "", XLOOKUP(C945, 'Fees &amp; Postage Table'!A:A, 'Fees &amp; Postage Table'!D:D, 0))</f>
        <v/>
      </c>
      <c r="H945">
        <f>IF(ISBLANK(A945), "", B945 - E945 - F945 - G945)</f>
        <v/>
      </c>
      <c r="I945">
        <f>IF(ISBLANK(A945), "", D945 - XLOOKUP(A945, Inventory!A:A, Inventory!H:H, TODAY()))</f>
        <v/>
      </c>
    </row>
    <row r="946">
      <c r="E946">
        <f>IF(ISBLANK(A946), "", XLOOKUP(A946, Inventory!A:A, Inventory!E:E, 0))</f>
        <v/>
      </c>
      <c r="F946">
        <f>IF(ISBLANK(A946), "", (B946 * XLOOKUP(C946, 'Fees &amp; Postage Table'!A:A, 'Fees &amp; Postage Table'!C:C, 0)) + XLOOKUP(C946, 'Fees &amp; Postage Table'!A:A, 'Fees &amp; Postage Table'!B:B, 0))</f>
        <v/>
      </c>
      <c r="G946">
        <f>IF(ISBLANK(A946), "", XLOOKUP(C946, 'Fees &amp; Postage Table'!A:A, 'Fees &amp; Postage Table'!D:D, 0))</f>
        <v/>
      </c>
      <c r="H946">
        <f>IF(ISBLANK(A946), "", B946 - E946 - F946 - G946)</f>
        <v/>
      </c>
      <c r="I946">
        <f>IF(ISBLANK(A946), "", D946 - XLOOKUP(A946, Inventory!A:A, Inventory!H:H, TODAY()))</f>
        <v/>
      </c>
    </row>
    <row r="947">
      <c r="E947">
        <f>IF(ISBLANK(A947), "", XLOOKUP(A947, Inventory!A:A, Inventory!E:E, 0))</f>
        <v/>
      </c>
      <c r="F947">
        <f>IF(ISBLANK(A947), "", (B947 * XLOOKUP(C947, 'Fees &amp; Postage Table'!A:A, 'Fees &amp; Postage Table'!C:C, 0)) + XLOOKUP(C947, 'Fees &amp; Postage Table'!A:A, 'Fees &amp; Postage Table'!B:B, 0))</f>
        <v/>
      </c>
      <c r="G947">
        <f>IF(ISBLANK(A947), "", XLOOKUP(C947, 'Fees &amp; Postage Table'!A:A, 'Fees &amp; Postage Table'!D:D, 0))</f>
        <v/>
      </c>
      <c r="H947">
        <f>IF(ISBLANK(A947), "", B947 - E947 - F947 - G947)</f>
        <v/>
      </c>
      <c r="I947">
        <f>IF(ISBLANK(A947), "", D947 - XLOOKUP(A947, Inventory!A:A, Inventory!H:H, TODAY()))</f>
        <v/>
      </c>
    </row>
    <row r="948">
      <c r="E948">
        <f>IF(ISBLANK(A948), "", XLOOKUP(A948, Inventory!A:A, Inventory!E:E, 0))</f>
        <v/>
      </c>
      <c r="F948">
        <f>IF(ISBLANK(A948), "", (B948 * XLOOKUP(C948, 'Fees &amp; Postage Table'!A:A, 'Fees &amp; Postage Table'!C:C, 0)) + XLOOKUP(C948, 'Fees &amp; Postage Table'!A:A, 'Fees &amp; Postage Table'!B:B, 0))</f>
        <v/>
      </c>
      <c r="G948">
        <f>IF(ISBLANK(A948), "", XLOOKUP(C948, 'Fees &amp; Postage Table'!A:A, 'Fees &amp; Postage Table'!D:D, 0))</f>
        <v/>
      </c>
      <c r="H948">
        <f>IF(ISBLANK(A948), "", B948 - E948 - F948 - G948)</f>
        <v/>
      </c>
      <c r="I948">
        <f>IF(ISBLANK(A948), "", D948 - XLOOKUP(A948, Inventory!A:A, Inventory!H:H, TODAY()))</f>
        <v/>
      </c>
    </row>
    <row r="949">
      <c r="E949">
        <f>IF(ISBLANK(A949), "", XLOOKUP(A949, Inventory!A:A, Inventory!E:E, 0))</f>
        <v/>
      </c>
      <c r="F949">
        <f>IF(ISBLANK(A949), "", (B949 * XLOOKUP(C949, 'Fees &amp; Postage Table'!A:A, 'Fees &amp; Postage Table'!C:C, 0)) + XLOOKUP(C949, 'Fees &amp; Postage Table'!A:A, 'Fees &amp; Postage Table'!B:B, 0))</f>
        <v/>
      </c>
      <c r="G949">
        <f>IF(ISBLANK(A949), "", XLOOKUP(C949, 'Fees &amp; Postage Table'!A:A, 'Fees &amp; Postage Table'!D:D, 0))</f>
        <v/>
      </c>
      <c r="H949">
        <f>IF(ISBLANK(A949), "", B949 - E949 - F949 - G949)</f>
        <v/>
      </c>
      <c r="I949">
        <f>IF(ISBLANK(A949), "", D949 - XLOOKUP(A949, Inventory!A:A, Inventory!H:H, TODAY()))</f>
        <v/>
      </c>
    </row>
    <row r="950">
      <c r="E950">
        <f>IF(ISBLANK(A950), "", XLOOKUP(A950, Inventory!A:A, Inventory!E:E, 0))</f>
        <v/>
      </c>
      <c r="F950">
        <f>IF(ISBLANK(A950), "", (B950 * XLOOKUP(C950, 'Fees &amp; Postage Table'!A:A, 'Fees &amp; Postage Table'!C:C, 0)) + XLOOKUP(C950, 'Fees &amp; Postage Table'!A:A, 'Fees &amp; Postage Table'!B:B, 0))</f>
        <v/>
      </c>
      <c r="G950">
        <f>IF(ISBLANK(A950), "", XLOOKUP(C950, 'Fees &amp; Postage Table'!A:A, 'Fees &amp; Postage Table'!D:D, 0))</f>
        <v/>
      </c>
      <c r="H950">
        <f>IF(ISBLANK(A950), "", B950 - E950 - F950 - G950)</f>
        <v/>
      </c>
      <c r="I950">
        <f>IF(ISBLANK(A950), "", D950 - XLOOKUP(A950, Inventory!A:A, Inventory!H:H, TODAY()))</f>
        <v/>
      </c>
    </row>
    <row r="951">
      <c r="E951">
        <f>IF(ISBLANK(A951), "", XLOOKUP(A951, Inventory!A:A, Inventory!E:E, 0))</f>
        <v/>
      </c>
      <c r="F951">
        <f>IF(ISBLANK(A951), "", (B951 * XLOOKUP(C951, 'Fees &amp; Postage Table'!A:A, 'Fees &amp; Postage Table'!C:C, 0)) + XLOOKUP(C951, 'Fees &amp; Postage Table'!A:A, 'Fees &amp; Postage Table'!B:B, 0))</f>
        <v/>
      </c>
      <c r="G951">
        <f>IF(ISBLANK(A951), "", XLOOKUP(C951, 'Fees &amp; Postage Table'!A:A, 'Fees &amp; Postage Table'!D:D, 0))</f>
        <v/>
      </c>
      <c r="H951">
        <f>IF(ISBLANK(A951), "", B951 - E951 - F951 - G951)</f>
        <v/>
      </c>
      <c r="I951">
        <f>IF(ISBLANK(A951), "", D951 - XLOOKUP(A951, Inventory!A:A, Inventory!H:H, TODAY()))</f>
        <v/>
      </c>
    </row>
    <row r="952">
      <c r="E952">
        <f>IF(ISBLANK(A952), "", XLOOKUP(A952, Inventory!A:A, Inventory!E:E, 0))</f>
        <v/>
      </c>
      <c r="F952">
        <f>IF(ISBLANK(A952), "", (B952 * XLOOKUP(C952, 'Fees &amp; Postage Table'!A:A, 'Fees &amp; Postage Table'!C:C, 0)) + XLOOKUP(C952, 'Fees &amp; Postage Table'!A:A, 'Fees &amp; Postage Table'!B:B, 0))</f>
        <v/>
      </c>
      <c r="G952">
        <f>IF(ISBLANK(A952), "", XLOOKUP(C952, 'Fees &amp; Postage Table'!A:A, 'Fees &amp; Postage Table'!D:D, 0))</f>
        <v/>
      </c>
      <c r="H952">
        <f>IF(ISBLANK(A952), "", B952 - E952 - F952 - G952)</f>
        <v/>
      </c>
      <c r="I952">
        <f>IF(ISBLANK(A952), "", D952 - XLOOKUP(A952, Inventory!A:A, Inventory!H:H, TODAY()))</f>
        <v/>
      </c>
    </row>
    <row r="953">
      <c r="E953">
        <f>IF(ISBLANK(A953), "", XLOOKUP(A953, Inventory!A:A, Inventory!E:E, 0))</f>
        <v/>
      </c>
      <c r="F953">
        <f>IF(ISBLANK(A953), "", (B953 * XLOOKUP(C953, 'Fees &amp; Postage Table'!A:A, 'Fees &amp; Postage Table'!C:C, 0)) + XLOOKUP(C953, 'Fees &amp; Postage Table'!A:A, 'Fees &amp; Postage Table'!B:B, 0))</f>
        <v/>
      </c>
      <c r="G953">
        <f>IF(ISBLANK(A953), "", XLOOKUP(C953, 'Fees &amp; Postage Table'!A:A, 'Fees &amp; Postage Table'!D:D, 0))</f>
        <v/>
      </c>
      <c r="H953">
        <f>IF(ISBLANK(A953), "", B953 - E953 - F953 - G953)</f>
        <v/>
      </c>
      <c r="I953">
        <f>IF(ISBLANK(A953), "", D953 - XLOOKUP(A953, Inventory!A:A, Inventory!H:H, TODAY()))</f>
        <v/>
      </c>
    </row>
    <row r="954">
      <c r="E954">
        <f>IF(ISBLANK(A954), "", XLOOKUP(A954, Inventory!A:A, Inventory!E:E, 0))</f>
        <v/>
      </c>
      <c r="F954">
        <f>IF(ISBLANK(A954), "", (B954 * XLOOKUP(C954, 'Fees &amp; Postage Table'!A:A, 'Fees &amp; Postage Table'!C:C, 0)) + XLOOKUP(C954, 'Fees &amp; Postage Table'!A:A, 'Fees &amp; Postage Table'!B:B, 0))</f>
        <v/>
      </c>
      <c r="G954">
        <f>IF(ISBLANK(A954), "", XLOOKUP(C954, 'Fees &amp; Postage Table'!A:A, 'Fees &amp; Postage Table'!D:D, 0))</f>
        <v/>
      </c>
      <c r="H954">
        <f>IF(ISBLANK(A954), "", B954 - E954 - F954 - G954)</f>
        <v/>
      </c>
      <c r="I954">
        <f>IF(ISBLANK(A954), "", D954 - XLOOKUP(A954, Inventory!A:A, Inventory!H:H, TODAY()))</f>
        <v/>
      </c>
    </row>
    <row r="955">
      <c r="E955">
        <f>IF(ISBLANK(A955), "", XLOOKUP(A955, Inventory!A:A, Inventory!E:E, 0))</f>
        <v/>
      </c>
      <c r="F955">
        <f>IF(ISBLANK(A955), "", (B955 * XLOOKUP(C955, 'Fees &amp; Postage Table'!A:A, 'Fees &amp; Postage Table'!C:C, 0)) + XLOOKUP(C955, 'Fees &amp; Postage Table'!A:A, 'Fees &amp; Postage Table'!B:B, 0))</f>
        <v/>
      </c>
      <c r="G955">
        <f>IF(ISBLANK(A955), "", XLOOKUP(C955, 'Fees &amp; Postage Table'!A:A, 'Fees &amp; Postage Table'!D:D, 0))</f>
        <v/>
      </c>
      <c r="H955">
        <f>IF(ISBLANK(A955), "", B955 - E955 - F955 - G955)</f>
        <v/>
      </c>
      <c r="I955">
        <f>IF(ISBLANK(A955), "", D955 - XLOOKUP(A955, Inventory!A:A, Inventory!H:H, TODAY()))</f>
        <v/>
      </c>
    </row>
    <row r="956">
      <c r="E956">
        <f>IF(ISBLANK(A956), "", XLOOKUP(A956, Inventory!A:A, Inventory!E:E, 0))</f>
        <v/>
      </c>
      <c r="F956">
        <f>IF(ISBLANK(A956), "", (B956 * XLOOKUP(C956, 'Fees &amp; Postage Table'!A:A, 'Fees &amp; Postage Table'!C:C, 0)) + XLOOKUP(C956, 'Fees &amp; Postage Table'!A:A, 'Fees &amp; Postage Table'!B:B, 0))</f>
        <v/>
      </c>
      <c r="G956">
        <f>IF(ISBLANK(A956), "", XLOOKUP(C956, 'Fees &amp; Postage Table'!A:A, 'Fees &amp; Postage Table'!D:D, 0))</f>
        <v/>
      </c>
      <c r="H956">
        <f>IF(ISBLANK(A956), "", B956 - E956 - F956 - G956)</f>
        <v/>
      </c>
      <c r="I956">
        <f>IF(ISBLANK(A956), "", D956 - XLOOKUP(A956, Inventory!A:A, Inventory!H:H, TODAY()))</f>
        <v/>
      </c>
    </row>
    <row r="957">
      <c r="E957">
        <f>IF(ISBLANK(A957), "", XLOOKUP(A957, Inventory!A:A, Inventory!E:E, 0))</f>
        <v/>
      </c>
      <c r="F957">
        <f>IF(ISBLANK(A957), "", (B957 * XLOOKUP(C957, 'Fees &amp; Postage Table'!A:A, 'Fees &amp; Postage Table'!C:C, 0)) + XLOOKUP(C957, 'Fees &amp; Postage Table'!A:A, 'Fees &amp; Postage Table'!B:B, 0))</f>
        <v/>
      </c>
      <c r="G957">
        <f>IF(ISBLANK(A957), "", XLOOKUP(C957, 'Fees &amp; Postage Table'!A:A, 'Fees &amp; Postage Table'!D:D, 0))</f>
        <v/>
      </c>
      <c r="H957">
        <f>IF(ISBLANK(A957), "", B957 - E957 - F957 - G957)</f>
        <v/>
      </c>
      <c r="I957">
        <f>IF(ISBLANK(A957), "", D957 - XLOOKUP(A957, Inventory!A:A, Inventory!H:H, TODAY()))</f>
        <v/>
      </c>
    </row>
    <row r="958">
      <c r="E958">
        <f>IF(ISBLANK(A958), "", XLOOKUP(A958, Inventory!A:A, Inventory!E:E, 0))</f>
        <v/>
      </c>
      <c r="F958">
        <f>IF(ISBLANK(A958), "", (B958 * XLOOKUP(C958, 'Fees &amp; Postage Table'!A:A, 'Fees &amp; Postage Table'!C:C, 0)) + XLOOKUP(C958, 'Fees &amp; Postage Table'!A:A, 'Fees &amp; Postage Table'!B:B, 0))</f>
        <v/>
      </c>
      <c r="G958">
        <f>IF(ISBLANK(A958), "", XLOOKUP(C958, 'Fees &amp; Postage Table'!A:A, 'Fees &amp; Postage Table'!D:D, 0))</f>
        <v/>
      </c>
      <c r="H958">
        <f>IF(ISBLANK(A958), "", B958 - E958 - F958 - G958)</f>
        <v/>
      </c>
      <c r="I958">
        <f>IF(ISBLANK(A958), "", D958 - XLOOKUP(A958, Inventory!A:A, Inventory!H:H, TODAY()))</f>
        <v/>
      </c>
    </row>
    <row r="959">
      <c r="E959">
        <f>IF(ISBLANK(A959), "", XLOOKUP(A959, Inventory!A:A, Inventory!E:E, 0))</f>
        <v/>
      </c>
      <c r="F959">
        <f>IF(ISBLANK(A959), "", (B959 * XLOOKUP(C959, 'Fees &amp; Postage Table'!A:A, 'Fees &amp; Postage Table'!C:C, 0)) + XLOOKUP(C959, 'Fees &amp; Postage Table'!A:A, 'Fees &amp; Postage Table'!B:B, 0))</f>
        <v/>
      </c>
      <c r="G959">
        <f>IF(ISBLANK(A959), "", XLOOKUP(C959, 'Fees &amp; Postage Table'!A:A, 'Fees &amp; Postage Table'!D:D, 0))</f>
        <v/>
      </c>
      <c r="H959">
        <f>IF(ISBLANK(A959), "", B959 - E959 - F959 - G959)</f>
        <v/>
      </c>
      <c r="I959">
        <f>IF(ISBLANK(A959), "", D959 - XLOOKUP(A959, Inventory!A:A, Inventory!H:H, TODAY()))</f>
        <v/>
      </c>
    </row>
    <row r="960">
      <c r="E960">
        <f>IF(ISBLANK(A960), "", XLOOKUP(A960, Inventory!A:A, Inventory!E:E, 0))</f>
        <v/>
      </c>
      <c r="F960">
        <f>IF(ISBLANK(A960), "", (B960 * XLOOKUP(C960, 'Fees &amp; Postage Table'!A:A, 'Fees &amp; Postage Table'!C:C, 0)) + XLOOKUP(C960, 'Fees &amp; Postage Table'!A:A, 'Fees &amp; Postage Table'!B:B, 0))</f>
        <v/>
      </c>
      <c r="G960">
        <f>IF(ISBLANK(A960), "", XLOOKUP(C960, 'Fees &amp; Postage Table'!A:A, 'Fees &amp; Postage Table'!D:D, 0))</f>
        <v/>
      </c>
      <c r="H960">
        <f>IF(ISBLANK(A960), "", B960 - E960 - F960 - G960)</f>
        <v/>
      </c>
      <c r="I960">
        <f>IF(ISBLANK(A960), "", D960 - XLOOKUP(A960, Inventory!A:A, Inventory!H:H, TODAY()))</f>
        <v/>
      </c>
    </row>
    <row r="961">
      <c r="E961">
        <f>IF(ISBLANK(A961), "", XLOOKUP(A961, Inventory!A:A, Inventory!E:E, 0))</f>
        <v/>
      </c>
      <c r="F961">
        <f>IF(ISBLANK(A961), "", (B961 * XLOOKUP(C961, 'Fees &amp; Postage Table'!A:A, 'Fees &amp; Postage Table'!C:C, 0)) + XLOOKUP(C961, 'Fees &amp; Postage Table'!A:A, 'Fees &amp; Postage Table'!B:B, 0))</f>
        <v/>
      </c>
      <c r="G961">
        <f>IF(ISBLANK(A961), "", XLOOKUP(C961, 'Fees &amp; Postage Table'!A:A, 'Fees &amp; Postage Table'!D:D, 0))</f>
        <v/>
      </c>
      <c r="H961">
        <f>IF(ISBLANK(A961), "", B961 - E961 - F961 - G961)</f>
        <v/>
      </c>
      <c r="I961">
        <f>IF(ISBLANK(A961), "", D961 - XLOOKUP(A961, Inventory!A:A, Inventory!H:H, TODAY()))</f>
        <v/>
      </c>
    </row>
    <row r="962">
      <c r="E962">
        <f>IF(ISBLANK(A962), "", XLOOKUP(A962, Inventory!A:A, Inventory!E:E, 0))</f>
        <v/>
      </c>
      <c r="F962">
        <f>IF(ISBLANK(A962), "", (B962 * XLOOKUP(C962, 'Fees &amp; Postage Table'!A:A, 'Fees &amp; Postage Table'!C:C, 0)) + XLOOKUP(C962, 'Fees &amp; Postage Table'!A:A, 'Fees &amp; Postage Table'!B:B, 0))</f>
        <v/>
      </c>
      <c r="G962">
        <f>IF(ISBLANK(A962), "", XLOOKUP(C962, 'Fees &amp; Postage Table'!A:A, 'Fees &amp; Postage Table'!D:D, 0))</f>
        <v/>
      </c>
      <c r="H962">
        <f>IF(ISBLANK(A962), "", B962 - E962 - F962 - G962)</f>
        <v/>
      </c>
      <c r="I962">
        <f>IF(ISBLANK(A962), "", D962 - XLOOKUP(A962, Inventory!A:A, Inventory!H:H, TODAY()))</f>
        <v/>
      </c>
    </row>
    <row r="963">
      <c r="E963">
        <f>IF(ISBLANK(A963), "", XLOOKUP(A963, Inventory!A:A, Inventory!E:E, 0))</f>
        <v/>
      </c>
      <c r="F963">
        <f>IF(ISBLANK(A963), "", (B963 * XLOOKUP(C963, 'Fees &amp; Postage Table'!A:A, 'Fees &amp; Postage Table'!C:C, 0)) + XLOOKUP(C963, 'Fees &amp; Postage Table'!A:A, 'Fees &amp; Postage Table'!B:B, 0))</f>
        <v/>
      </c>
      <c r="G963">
        <f>IF(ISBLANK(A963), "", XLOOKUP(C963, 'Fees &amp; Postage Table'!A:A, 'Fees &amp; Postage Table'!D:D, 0))</f>
        <v/>
      </c>
      <c r="H963">
        <f>IF(ISBLANK(A963), "", B963 - E963 - F963 - G963)</f>
        <v/>
      </c>
      <c r="I963">
        <f>IF(ISBLANK(A963), "", D963 - XLOOKUP(A963, Inventory!A:A, Inventory!H:H, TODAY()))</f>
        <v/>
      </c>
    </row>
    <row r="964">
      <c r="E964">
        <f>IF(ISBLANK(A964), "", XLOOKUP(A964, Inventory!A:A, Inventory!E:E, 0))</f>
        <v/>
      </c>
      <c r="F964">
        <f>IF(ISBLANK(A964), "", (B964 * XLOOKUP(C964, 'Fees &amp; Postage Table'!A:A, 'Fees &amp; Postage Table'!C:C, 0)) + XLOOKUP(C964, 'Fees &amp; Postage Table'!A:A, 'Fees &amp; Postage Table'!B:B, 0))</f>
        <v/>
      </c>
      <c r="G964">
        <f>IF(ISBLANK(A964), "", XLOOKUP(C964, 'Fees &amp; Postage Table'!A:A, 'Fees &amp; Postage Table'!D:D, 0))</f>
        <v/>
      </c>
      <c r="H964">
        <f>IF(ISBLANK(A964), "", B964 - E964 - F964 - G964)</f>
        <v/>
      </c>
      <c r="I964">
        <f>IF(ISBLANK(A964), "", D964 - XLOOKUP(A964, Inventory!A:A, Inventory!H:H, TODAY()))</f>
        <v/>
      </c>
    </row>
    <row r="965">
      <c r="E965">
        <f>IF(ISBLANK(A965), "", XLOOKUP(A965, Inventory!A:A, Inventory!E:E, 0))</f>
        <v/>
      </c>
      <c r="F965">
        <f>IF(ISBLANK(A965), "", (B965 * XLOOKUP(C965, 'Fees &amp; Postage Table'!A:A, 'Fees &amp; Postage Table'!C:C, 0)) + XLOOKUP(C965, 'Fees &amp; Postage Table'!A:A, 'Fees &amp; Postage Table'!B:B, 0))</f>
        <v/>
      </c>
      <c r="G965">
        <f>IF(ISBLANK(A965), "", XLOOKUP(C965, 'Fees &amp; Postage Table'!A:A, 'Fees &amp; Postage Table'!D:D, 0))</f>
        <v/>
      </c>
      <c r="H965">
        <f>IF(ISBLANK(A965), "", B965 - E965 - F965 - G965)</f>
        <v/>
      </c>
      <c r="I965">
        <f>IF(ISBLANK(A965), "", D965 - XLOOKUP(A965, Inventory!A:A, Inventory!H:H, TODAY()))</f>
        <v/>
      </c>
    </row>
    <row r="966">
      <c r="E966">
        <f>IF(ISBLANK(A966), "", XLOOKUP(A966, Inventory!A:A, Inventory!E:E, 0))</f>
        <v/>
      </c>
      <c r="F966">
        <f>IF(ISBLANK(A966), "", (B966 * XLOOKUP(C966, 'Fees &amp; Postage Table'!A:A, 'Fees &amp; Postage Table'!C:C, 0)) + XLOOKUP(C966, 'Fees &amp; Postage Table'!A:A, 'Fees &amp; Postage Table'!B:B, 0))</f>
        <v/>
      </c>
      <c r="G966">
        <f>IF(ISBLANK(A966), "", XLOOKUP(C966, 'Fees &amp; Postage Table'!A:A, 'Fees &amp; Postage Table'!D:D, 0))</f>
        <v/>
      </c>
      <c r="H966">
        <f>IF(ISBLANK(A966), "", B966 - E966 - F966 - G966)</f>
        <v/>
      </c>
      <c r="I966">
        <f>IF(ISBLANK(A966), "", D966 - XLOOKUP(A966, Inventory!A:A, Inventory!H:H, TODAY()))</f>
        <v/>
      </c>
    </row>
    <row r="967">
      <c r="E967">
        <f>IF(ISBLANK(A967), "", XLOOKUP(A967, Inventory!A:A, Inventory!E:E, 0))</f>
        <v/>
      </c>
      <c r="F967">
        <f>IF(ISBLANK(A967), "", (B967 * XLOOKUP(C967, 'Fees &amp; Postage Table'!A:A, 'Fees &amp; Postage Table'!C:C, 0)) + XLOOKUP(C967, 'Fees &amp; Postage Table'!A:A, 'Fees &amp; Postage Table'!B:B, 0))</f>
        <v/>
      </c>
      <c r="G967">
        <f>IF(ISBLANK(A967), "", XLOOKUP(C967, 'Fees &amp; Postage Table'!A:A, 'Fees &amp; Postage Table'!D:D, 0))</f>
        <v/>
      </c>
      <c r="H967">
        <f>IF(ISBLANK(A967), "", B967 - E967 - F967 - G967)</f>
        <v/>
      </c>
      <c r="I967">
        <f>IF(ISBLANK(A967), "", D967 - XLOOKUP(A967, Inventory!A:A, Inventory!H:H, TODAY()))</f>
        <v/>
      </c>
    </row>
    <row r="968">
      <c r="E968">
        <f>IF(ISBLANK(A968), "", XLOOKUP(A968, Inventory!A:A, Inventory!E:E, 0))</f>
        <v/>
      </c>
      <c r="F968">
        <f>IF(ISBLANK(A968), "", (B968 * XLOOKUP(C968, 'Fees &amp; Postage Table'!A:A, 'Fees &amp; Postage Table'!C:C, 0)) + XLOOKUP(C968, 'Fees &amp; Postage Table'!A:A, 'Fees &amp; Postage Table'!B:B, 0))</f>
        <v/>
      </c>
      <c r="G968">
        <f>IF(ISBLANK(A968), "", XLOOKUP(C968, 'Fees &amp; Postage Table'!A:A, 'Fees &amp; Postage Table'!D:D, 0))</f>
        <v/>
      </c>
      <c r="H968">
        <f>IF(ISBLANK(A968), "", B968 - E968 - F968 - G968)</f>
        <v/>
      </c>
      <c r="I968">
        <f>IF(ISBLANK(A968), "", D968 - XLOOKUP(A968, Inventory!A:A, Inventory!H:H, TODAY()))</f>
        <v/>
      </c>
    </row>
    <row r="969">
      <c r="E969">
        <f>IF(ISBLANK(A969), "", XLOOKUP(A969, Inventory!A:A, Inventory!E:E, 0))</f>
        <v/>
      </c>
      <c r="F969">
        <f>IF(ISBLANK(A969), "", (B969 * XLOOKUP(C969, 'Fees &amp; Postage Table'!A:A, 'Fees &amp; Postage Table'!C:C, 0)) + XLOOKUP(C969, 'Fees &amp; Postage Table'!A:A, 'Fees &amp; Postage Table'!B:B, 0))</f>
        <v/>
      </c>
      <c r="G969">
        <f>IF(ISBLANK(A969), "", XLOOKUP(C969, 'Fees &amp; Postage Table'!A:A, 'Fees &amp; Postage Table'!D:D, 0))</f>
        <v/>
      </c>
      <c r="H969">
        <f>IF(ISBLANK(A969), "", B969 - E969 - F969 - G969)</f>
        <v/>
      </c>
      <c r="I969">
        <f>IF(ISBLANK(A969), "", D969 - XLOOKUP(A969, Inventory!A:A, Inventory!H:H, TODAY()))</f>
        <v/>
      </c>
    </row>
    <row r="970">
      <c r="E970">
        <f>IF(ISBLANK(A970), "", XLOOKUP(A970, Inventory!A:A, Inventory!E:E, 0))</f>
        <v/>
      </c>
      <c r="F970">
        <f>IF(ISBLANK(A970), "", (B970 * XLOOKUP(C970, 'Fees &amp; Postage Table'!A:A, 'Fees &amp; Postage Table'!C:C, 0)) + XLOOKUP(C970, 'Fees &amp; Postage Table'!A:A, 'Fees &amp; Postage Table'!B:B, 0))</f>
        <v/>
      </c>
      <c r="G970">
        <f>IF(ISBLANK(A970), "", XLOOKUP(C970, 'Fees &amp; Postage Table'!A:A, 'Fees &amp; Postage Table'!D:D, 0))</f>
        <v/>
      </c>
      <c r="H970">
        <f>IF(ISBLANK(A970), "", B970 - E970 - F970 - G970)</f>
        <v/>
      </c>
      <c r="I970">
        <f>IF(ISBLANK(A970), "", D970 - XLOOKUP(A970, Inventory!A:A, Inventory!H:H, TODAY()))</f>
        <v/>
      </c>
    </row>
    <row r="971">
      <c r="E971">
        <f>IF(ISBLANK(A971), "", XLOOKUP(A971, Inventory!A:A, Inventory!E:E, 0))</f>
        <v/>
      </c>
      <c r="F971">
        <f>IF(ISBLANK(A971), "", (B971 * XLOOKUP(C971, 'Fees &amp; Postage Table'!A:A, 'Fees &amp; Postage Table'!C:C, 0)) + XLOOKUP(C971, 'Fees &amp; Postage Table'!A:A, 'Fees &amp; Postage Table'!B:B, 0))</f>
        <v/>
      </c>
      <c r="G971">
        <f>IF(ISBLANK(A971), "", XLOOKUP(C971, 'Fees &amp; Postage Table'!A:A, 'Fees &amp; Postage Table'!D:D, 0))</f>
        <v/>
      </c>
      <c r="H971">
        <f>IF(ISBLANK(A971), "", B971 - E971 - F971 - G971)</f>
        <v/>
      </c>
      <c r="I971">
        <f>IF(ISBLANK(A971), "", D971 - XLOOKUP(A971, Inventory!A:A, Inventory!H:H, TODAY()))</f>
        <v/>
      </c>
    </row>
    <row r="972">
      <c r="E972">
        <f>IF(ISBLANK(A972), "", XLOOKUP(A972, Inventory!A:A, Inventory!E:E, 0))</f>
        <v/>
      </c>
      <c r="F972">
        <f>IF(ISBLANK(A972), "", (B972 * XLOOKUP(C972, 'Fees &amp; Postage Table'!A:A, 'Fees &amp; Postage Table'!C:C, 0)) + XLOOKUP(C972, 'Fees &amp; Postage Table'!A:A, 'Fees &amp; Postage Table'!B:B, 0))</f>
        <v/>
      </c>
      <c r="G972">
        <f>IF(ISBLANK(A972), "", XLOOKUP(C972, 'Fees &amp; Postage Table'!A:A, 'Fees &amp; Postage Table'!D:D, 0))</f>
        <v/>
      </c>
      <c r="H972">
        <f>IF(ISBLANK(A972), "", B972 - E972 - F972 - G972)</f>
        <v/>
      </c>
      <c r="I972">
        <f>IF(ISBLANK(A972), "", D972 - XLOOKUP(A972, Inventory!A:A, Inventory!H:H, TODAY()))</f>
        <v/>
      </c>
    </row>
    <row r="973">
      <c r="E973">
        <f>IF(ISBLANK(A973), "", XLOOKUP(A973, Inventory!A:A, Inventory!E:E, 0))</f>
        <v/>
      </c>
      <c r="F973">
        <f>IF(ISBLANK(A973), "", (B973 * XLOOKUP(C973, 'Fees &amp; Postage Table'!A:A, 'Fees &amp; Postage Table'!C:C, 0)) + XLOOKUP(C973, 'Fees &amp; Postage Table'!A:A, 'Fees &amp; Postage Table'!B:B, 0))</f>
        <v/>
      </c>
      <c r="G973">
        <f>IF(ISBLANK(A973), "", XLOOKUP(C973, 'Fees &amp; Postage Table'!A:A, 'Fees &amp; Postage Table'!D:D, 0))</f>
        <v/>
      </c>
      <c r="H973">
        <f>IF(ISBLANK(A973), "", B973 - E973 - F973 - G973)</f>
        <v/>
      </c>
      <c r="I973">
        <f>IF(ISBLANK(A973), "", D973 - XLOOKUP(A973, Inventory!A:A, Inventory!H:H, TODAY()))</f>
        <v/>
      </c>
    </row>
    <row r="974">
      <c r="E974">
        <f>IF(ISBLANK(A974), "", XLOOKUP(A974, Inventory!A:A, Inventory!E:E, 0))</f>
        <v/>
      </c>
      <c r="F974">
        <f>IF(ISBLANK(A974), "", (B974 * XLOOKUP(C974, 'Fees &amp; Postage Table'!A:A, 'Fees &amp; Postage Table'!C:C, 0)) + XLOOKUP(C974, 'Fees &amp; Postage Table'!A:A, 'Fees &amp; Postage Table'!B:B, 0))</f>
        <v/>
      </c>
      <c r="G974">
        <f>IF(ISBLANK(A974), "", XLOOKUP(C974, 'Fees &amp; Postage Table'!A:A, 'Fees &amp; Postage Table'!D:D, 0))</f>
        <v/>
      </c>
      <c r="H974">
        <f>IF(ISBLANK(A974), "", B974 - E974 - F974 - G974)</f>
        <v/>
      </c>
      <c r="I974">
        <f>IF(ISBLANK(A974), "", D974 - XLOOKUP(A974, Inventory!A:A, Inventory!H:H, TODAY()))</f>
        <v/>
      </c>
    </row>
    <row r="975">
      <c r="E975">
        <f>IF(ISBLANK(A975), "", XLOOKUP(A975, Inventory!A:A, Inventory!E:E, 0))</f>
        <v/>
      </c>
      <c r="F975">
        <f>IF(ISBLANK(A975), "", (B975 * XLOOKUP(C975, 'Fees &amp; Postage Table'!A:A, 'Fees &amp; Postage Table'!C:C, 0)) + XLOOKUP(C975, 'Fees &amp; Postage Table'!A:A, 'Fees &amp; Postage Table'!B:B, 0))</f>
        <v/>
      </c>
      <c r="G975">
        <f>IF(ISBLANK(A975), "", XLOOKUP(C975, 'Fees &amp; Postage Table'!A:A, 'Fees &amp; Postage Table'!D:D, 0))</f>
        <v/>
      </c>
      <c r="H975">
        <f>IF(ISBLANK(A975), "", B975 - E975 - F975 - G975)</f>
        <v/>
      </c>
      <c r="I975">
        <f>IF(ISBLANK(A975), "", D975 - XLOOKUP(A975, Inventory!A:A, Inventory!H:H, TODAY()))</f>
        <v/>
      </c>
    </row>
    <row r="976">
      <c r="E976">
        <f>IF(ISBLANK(A976), "", XLOOKUP(A976, Inventory!A:A, Inventory!E:E, 0))</f>
        <v/>
      </c>
      <c r="F976">
        <f>IF(ISBLANK(A976), "", (B976 * XLOOKUP(C976, 'Fees &amp; Postage Table'!A:A, 'Fees &amp; Postage Table'!C:C, 0)) + XLOOKUP(C976, 'Fees &amp; Postage Table'!A:A, 'Fees &amp; Postage Table'!B:B, 0))</f>
        <v/>
      </c>
      <c r="G976">
        <f>IF(ISBLANK(A976), "", XLOOKUP(C976, 'Fees &amp; Postage Table'!A:A, 'Fees &amp; Postage Table'!D:D, 0))</f>
        <v/>
      </c>
      <c r="H976">
        <f>IF(ISBLANK(A976), "", B976 - E976 - F976 - G976)</f>
        <v/>
      </c>
      <c r="I976">
        <f>IF(ISBLANK(A976), "", D976 - XLOOKUP(A976, Inventory!A:A, Inventory!H:H, TODAY()))</f>
        <v/>
      </c>
    </row>
    <row r="977">
      <c r="E977">
        <f>IF(ISBLANK(A977), "", XLOOKUP(A977, Inventory!A:A, Inventory!E:E, 0))</f>
        <v/>
      </c>
      <c r="F977">
        <f>IF(ISBLANK(A977), "", (B977 * XLOOKUP(C977, 'Fees &amp; Postage Table'!A:A, 'Fees &amp; Postage Table'!C:C, 0)) + XLOOKUP(C977, 'Fees &amp; Postage Table'!A:A, 'Fees &amp; Postage Table'!B:B, 0))</f>
        <v/>
      </c>
      <c r="G977">
        <f>IF(ISBLANK(A977), "", XLOOKUP(C977, 'Fees &amp; Postage Table'!A:A, 'Fees &amp; Postage Table'!D:D, 0))</f>
        <v/>
      </c>
      <c r="H977">
        <f>IF(ISBLANK(A977), "", B977 - E977 - F977 - G977)</f>
        <v/>
      </c>
      <c r="I977">
        <f>IF(ISBLANK(A977), "", D977 - XLOOKUP(A977, Inventory!A:A, Inventory!H:H, TODAY()))</f>
        <v/>
      </c>
    </row>
    <row r="978">
      <c r="E978">
        <f>IF(ISBLANK(A978), "", XLOOKUP(A978, Inventory!A:A, Inventory!E:E, 0))</f>
        <v/>
      </c>
      <c r="F978">
        <f>IF(ISBLANK(A978), "", (B978 * XLOOKUP(C978, 'Fees &amp; Postage Table'!A:A, 'Fees &amp; Postage Table'!C:C, 0)) + XLOOKUP(C978, 'Fees &amp; Postage Table'!A:A, 'Fees &amp; Postage Table'!B:B, 0))</f>
        <v/>
      </c>
      <c r="G978">
        <f>IF(ISBLANK(A978), "", XLOOKUP(C978, 'Fees &amp; Postage Table'!A:A, 'Fees &amp; Postage Table'!D:D, 0))</f>
        <v/>
      </c>
      <c r="H978">
        <f>IF(ISBLANK(A978), "", B978 - E978 - F978 - G978)</f>
        <v/>
      </c>
      <c r="I978">
        <f>IF(ISBLANK(A978), "", D978 - XLOOKUP(A978, Inventory!A:A, Inventory!H:H, TODAY()))</f>
        <v/>
      </c>
    </row>
    <row r="979">
      <c r="E979">
        <f>IF(ISBLANK(A979), "", XLOOKUP(A979, Inventory!A:A, Inventory!E:E, 0))</f>
        <v/>
      </c>
      <c r="F979">
        <f>IF(ISBLANK(A979), "", (B979 * XLOOKUP(C979, 'Fees &amp; Postage Table'!A:A, 'Fees &amp; Postage Table'!C:C, 0)) + XLOOKUP(C979, 'Fees &amp; Postage Table'!A:A, 'Fees &amp; Postage Table'!B:B, 0))</f>
        <v/>
      </c>
      <c r="G979">
        <f>IF(ISBLANK(A979), "", XLOOKUP(C979, 'Fees &amp; Postage Table'!A:A, 'Fees &amp; Postage Table'!D:D, 0))</f>
        <v/>
      </c>
      <c r="H979">
        <f>IF(ISBLANK(A979), "", B979 - E979 - F979 - G979)</f>
        <v/>
      </c>
      <c r="I979">
        <f>IF(ISBLANK(A979), "", D979 - XLOOKUP(A979, Inventory!A:A, Inventory!H:H, TODAY()))</f>
        <v/>
      </c>
    </row>
    <row r="980">
      <c r="E980">
        <f>IF(ISBLANK(A980), "", XLOOKUP(A980, Inventory!A:A, Inventory!E:E, 0))</f>
        <v/>
      </c>
      <c r="F980">
        <f>IF(ISBLANK(A980), "", (B980 * XLOOKUP(C980, 'Fees &amp; Postage Table'!A:A, 'Fees &amp; Postage Table'!C:C, 0)) + XLOOKUP(C980, 'Fees &amp; Postage Table'!A:A, 'Fees &amp; Postage Table'!B:B, 0))</f>
        <v/>
      </c>
      <c r="G980">
        <f>IF(ISBLANK(A980), "", XLOOKUP(C980, 'Fees &amp; Postage Table'!A:A, 'Fees &amp; Postage Table'!D:D, 0))</f>
        <v/>
      </c>
      <c r="H980">
        <f>IF(ISBLANK(A980), "", B980 - E980 - F980 - G980)</f>
        <v/>
      </c>
      <c r="I980">
        <f>IF(ISBLANK(A980), "", D980 - XLOOKUP(A980, Inventory!A:A, Inventory!H:H, TODAY()))</f>
        <v/>
      </c>
    </row>
    <row r="981">
      <c r="E981">
        <f>IF(ISBLANK(A981), "", XLOOKUP(A981, Inventory!A:A, Inventory!E:E, 0))</f>
        <v/>
      </c>
      <c r="F981">
        <f>IF(ISBLANK(A981), "", (B981 * XLOOKUP(C981, 'Fees &amp; Postage Table'!A:A, 'Fees &amp; Postage Table'!C:C, 0)) + XLOOKUP(C981, 'Fees &amp; Postage Table'!A:A, 'Fees &amp; Postage Table'!B:B, 0))</f>
        <v/>
      </c>
      <c r="G981">
        <f>IF(ISBLANK(A981), "", XLOOKUP(C981, 'Fees &amp; Postage Table'!A:A, 'Fees &amp; Postage Table'!D:D, 0))</f>
        <v/>
      </c>
      <c r="H981">
        <f>IF(ISBLANK(A981), "", B981 - E981 - F981 - G981)</f>
        <v/>
      </c>
      <c r="I981">
        <f>IF(ISBLANK(A981), "", D981 - XLOOKUP(A981, Inventory!A:A, Inventory!H:H, TODAY()))</f>
        <v/>
      </c>
    </row>
    <row r="982">
      <c r="E982">
        <f>IF(ISBLANK(A982), "", XLOOKUP(A982, Inventory!A:A, Inventory!E:E, 0))</f>
        <v/>
      </c>
      <c r="F982">
        <f>IF(ISBLANK(A982), "", (B982 * XLOOKUP(C982, 'Fees &amp; Postage Table'!A:A, 'Fees &amp; Postage Table'!C:C, 0)) + XLOOKUP(C982, 'Fees &amp; Postage Table'!A:A, 'Fees &amp; Postage Table'!B:B, 0))</f>
        <v/>
      </c>
      <c r="G982">
        <f>IF(ISBLANK(A982), "", XLOOKUP(C982, 'Fees &amp; Postage Table'!A:A, 'Fees &amp; Postage Table'!D:D, 0))</f>
        <v/>
      </c>
      <c r="H982">
        <f>IF(ISBLANK(A982), "", B982 - E982 - F982 - G982)</f>
        <v/>
      </c>
      <c r="I982">
        <f>IF(ISBLANK(A982), "", D982 - XLOOKUP(A982, Inventory!A:A, Inventory!H:H, TODAY()))</f>
        <v/>
      </c>
    </row>
    <row r="983">
      <c r="E983">
        <f>IF(ISBLANK(A983), "", XLOOKUP(A983, Inventory!A:A, Inventory!E:E, 0))</f>
        <v/>
      </c>
      <c r="F983">
        <f>IF(ISBLANK(A983), "", (B983 * XLOOKUP(C983, 'Fees &amp; Postage Table'!A:A, 'Fees &amp; Postage Table'!C:C, 0)) + XLOOKUP(C983, 'Fees &amp; Postage Table'!A:A, 'Fees &amp; Postage Table'!B:B, 0))</f>
        <v/>
      </c>
      <c r="G983">
        <f>IF(ISBLANK(A983), "", XLOOKUP(C983, 'Fees &amp; Postage Table'!A:A, 'Fees &amp; Postage Table'!D:D, 0))</f>
        <v/>
      </c>
      <c r="H983">
        <f>IF(ISBLANK(A983), "", B983 - E983 - F983 - G983)</f>
        <v/>
      </c>
      <c r="I983">
        <f>IF(ISBLANK(A983), "", D983 - XLOOKUP(A983, Inventory!A:A, Inventory!H:H, TODAY()))</f>
        <v/>
      </c>
    </row>
    <row r="984">
      <c r="E984">
        <f>IF(ISBLANK(A984), "", XLOOKUP(A984, Inventory!A:A, Inventory!E:E, 0))</f>
        <v/>
      </c>
      <c r="F984">
        <f>IF(ISBLANK(A984), "", (B984 * XLOOKUP(C984, 'Fees &amp; Postage Table'!A:A, 'Fees &amp; Postage Table'!C:C, 0)) + XLOOKUP(C984, 'Fees &amp; Postage Table'!A:A, 'Fees &amp; Postage Table'!B:B, 0))</f>
        <v/>
      </c>
      <c r="G984">
        <f>IF(ISBLANK(A984), "", XLOOKUP(C984, 'Fees &amp; Postage Table'!A:A, 'Fees &amp; Postage Table'!D:D, 0))</f>
        <v/>
      </c>
      <c r="H984">
        <f>IF(ISBLANK(A984), "", B984 - E984 - F984 - G984)</f>
        <v/>
      </c>
      <c r="I984">
        <f>IF(ISBLANK(A984), "", D984 - XLOOKUP(A984, Inventory!A:A, Inventory!H:H, TODAY()))</f>
        <v/>
      </c>
    </row>
    <row r="985">
      <c r="E985">
        <f>IF(ISBLANK(A985), "", XLOOKUP(A985, Inventory!A:A, Inventory!E:E, 0))</f>
        <v/>
      </c>
      <c r="F985">
        <f>IF(ISBLANK(A985), "", (B985 * XLOOKUP(C985, 'Fees &amp; Postage Table'!A:A, 'Fees &amp; Postage Table'!C:C, 0)) + XLOOKUP(C985, 'Fees &amp; Postage Table'!A:A, 'Fees &amp; Postage Table'!B:B, 0))</f>
        <v/>
      </c>
      <c r="G985">
        <f>IF(ISBLANK(A985), "", XLOOKUP(C985, 'Fees &amp; Postage Table'!A:A, 'Fees &amp; Postage Table'!D:D, 0))</f>
        <v/>
      </c>
      <c r="H985">
        <f>IF(ISBLANK(A985), "", B985 - E985 - F985 - G985)</f>
        <v/>
      </c>
      <c r="I985">
        <f>IF(ISBLANK(A985), "", D985 - XLOOKUP(A985, Inventory!A:A, Inventory!H:H, TODAY()))</f>
        <v/>
      </c>
    </row>
    <row r="986">
      <c r="E986">
        <f>IF(ISBLANK(A986), "", XLOOKUP(A986, Inventory!A:A, Inventory!E:E, 0))</f>
        <v/>
      </c>
      <c r="F986">
        <f>IF(ISBLANK(A986), "", (B986 * XLOOKUP(C986, 'Fees &amp; Postage Table'!A:A, 'Fees &amp; Postage Table'!C:C, 0)) + XLOOKUP(C986, 'Fees &amp; Postage Table'!A:A, 'Fees &amp; Postage Table'!B:B, 0))</f>
        <v/>
      </c>
      <c r="G986">
        <f>IF(ISBLANK(A986), "", XLOOKUP(C986, 'Fees &amp; Postage Table'!A:A, 'Fees &amp; Postage Table'!D:D, 0))</f>
        <v/>
      </c>
      <c r="H986">
        <f>IF(ISBLANK(A986), "", B986 - E986 - F986 - G986)</f>
        <v/>
      </c>
      <c r="I986">
        <f>IF(ISBLANK(A986), "", D986 - XLOOKUP(A986, Inventory!A:A, Inventory!H:H, TODAY()))</f>
        <v/>
      </c>
    </row>
    <row r="987">
      <c r="E987">
        <f>IF(ISBLANK(A987), "", XLOOKUP(A987, Inventory!A:A, Inventory!E:E, 0))</f>
        <v/>
      </c>
      <c r="F987">
        <f>IF(ISBLANK(A987), "", (B987 * XLOOKUP(C987, 'Fees &amp; Postage Table'!A:A, 'Fees &amp; Postage Table'!C:C, 0)) + XLOOKUP(C987, 'Fees &amp; Postage Table'!A:A, 'Fees &amp; Postage Table'!B:B, 0))</f>
        <v/>
      </c>
      <c r="G987">
        <f>IF(ISBLANK(A987), "", XLOOKUP(C987, 'Fees &amp; Postage Table'!A:A, 'Fees &amp; Postage Table'!D:D, 0))</f>
        <v/>
      </c>
      <c r="H987">
        <f>IF(ISBLANK(A987), "", B987 - E987 - F987 - G987)</f>
        <v/>
      </c>
      <c r="I987">
        <f>IF(ISBLANK(A987), "", D987 - XLOOKUP(A987, Inventory!A:A, Inventory!H:H, TODAY()))</f>
        <v/>
      </c>
    </row>
    <row r="988">
      <c r="E988">
        <f>IF(ISBLANK(A988), "", XLOOKUP(A988, Inventory!A:A, Inventory!E:E, 0))</f>
        <v/>
      </c>
      <c r="F988">
        <f>IF(ISBLANK(A988), "", (B988 * XLOOKUP(C988, 'Fees &amp; Postage Table'!A:A, 'Fees &amp; Postage Table'!C:C, 0)) + XLOOKUP(C988, 'Fees &amp; Postage Table'!A:A, 'Fees &amp; Postage Table'!B:B, 0))</f>
        <v/>
      </c>
      <c r="G988">
        <f>IF(ISBLANK(A988), "", XLOOKUP(C988, 'Fees &amp; Postage Table'!A:A, 'Fees &amp; Postage Table'!D:D, 0))</f>
        <v/>
      </c>
      <c r="H988">
        <f>IF(ISBLANK(A988), "", B988 - E988 - F988 - G988)</f>
        <v/>
      </c>
      <c r="I988">
        <f>IF(ISBLANK(A988), "", D988 - XLOOKUP(A988, Inventory!A:A, Inventory!H:H, TODAY()))</f>
        <v/>
      </c>
    </row>
    <row r="989">
      <c r="E989">
        <f>IF(ISBLANK(A989), "", XLOOKUP(A989, Inventory!A:A, Inventory!E:E, 0))</f>
        <v/>
      </c>
      <c r="F989">
        <f>IF(ISBLANK(A989), "", (B989 * XLOOKUP(C989, 'Fees &amp; Postage Table'!A:A, 'Fees &amp; Postage Table'!C:C, 0)) + XLOOKUP(C989, 'Fees &amp; Postage Table'!A:A, 'Fees &amp; Postage Table'!B:B, 0))</f>
        <v/>
      </c>
      <c r="G989">
        <f>IF(ISBLANK(A989), "", XLOOKUP(C989, 'Fees &amp; Postage Table'!A:A, 'Fees &amp; Postage Table'!D:D, 0))</f>
        <v/>
      </c>
      <c r="H989">
        <f>IF(ISBLANK(A989), "", B989 - E989 - F989 - G989)</f>
        <v/>
      </c>
      <c r="I989">
        <f>IF(ISBLANK(A989), "", D989 - XLOOKUP(A989, Inventory!A:A, Inventory!H:H, TODAY()))</f>
        <v/>
      </c>
    </row>
    <row r="990">
      <c r="E990">
        <f>IF(ISBLANK(A990), "", XLOOKUP(A990, Inventory!A:A, Inventory!E:E, 0))</f>
        <v/>
      </c>
      <c r="F990">
        <f>IF(ISBLANK(A990), "", (B990 * XLOOKUP(C990, 'Fees &amp; Postage Table'!A:A, 'Fees &amp; Postage Table'!C:C, 0)) + XLOOKUP(C990, 'Fees &amp; Postage Table'!A:A, 'Fees &amp; Postage Table'!B:B, 0))</f>
        <v/>
      </c>
      <c r="G990">
        <f>IF(ISBLANK(A990), "", XLOOKUP(C990, 'Fees &amp; Postage Table'!A:A, 'Fees &amp; Postage Table'!D:D, 0))</f>
        <v/>
      </c>
      <c r="H990">
        <f>IF(ISBLANK(A990), "", B990 - E990 - F990 - G990)</f>
        <v/>
      </c>
      <c r="I990">
        <f>IF(ISBLANK(A990), "", D990 - XLOOKUP(A990, Inventory!A:A, Inventory!H:H, TODAY()))</f>
        <v/>
      </c>
    </row>
    <row r="991">
      <c r="E991">
        <f>IF(ISBLANK(A991), "", XLOOKUP(A991, Inventory!A:A, Inventory!E:E, 0))</f>
        <v/>
      </c>
      <c r="F991">
        <f>IF(ISBLANK(A991), "", (B991 * XLOOKUP(C991, 'Fees &amp; Postage Table'!A:A, 'Fees &amp; Postage Table'!C:C, 0)) + XLOOKUP(C991, 'Fees &amp; Postage Table'!A:A, 'Fees &amp; Postage Table'!B:B, 0))</f>
        <v/>
      </c>
      <c r="G991">
        <f>IF(ISBLANK(A991), "", XLOOKUP(C991, 'Fees &amp; Postage Table'!A:A, 'Fees &amp; Postage Table'!D:D, 0))</f>
        <v/>
      </c>
      <c r="H991">
        <f>IF(ISBLANK(A991), "", B991 - E991 - F991 - G991)</f>
        <v/>
      </c>
      <c r="I991">
        <f>IF(ISBLANK(A991), "", D991 - XLOOKUP(A991, Inventory!A:A, Inventory!H:H, TODAY()))</f>
        <v/>
      </c>
    </row>
    <row r="992">
      <c r="E992">
        <f>IF(ISBLANK(A992), "", XLOOKUP(A992, Inventory!A:A, Inventory!E:E, 0))</f>
        <v/>
      </c>
      <c r="F992">
        <f>IF(ISBLANK(A992), "", (B992 * XLOOKUP(C992, 'Fees &amp; Postage Table'!A:A, 'Fees &amp; Postage Table'!C:C, 0)) + XLOOKUP(C992, 'Fees &amp; Postage Table'!A:A, 'Fees &amp; Postage Table'!B:B, 0))</f>
        <v/>
      </c>
      <c r="G992">
        <f>IF(ISBLANK(A992), "", XLOOKUP(C992, 'Fees &amp; Postage Table'!A:A, 'Fees &amp; Postage Table'!D:D, 0))</f>
        <v/>
      </c>
      <c r="H992">
        <f>IF(ISBLANK(A992), "", B992 - E992 - F992 - G992)</f>
        <v/>
      </c>
      <c r="I992">
        <f>IF(ISBLANK(A992), "", D992 - XLOOKUP(A992, Inventory!A:A, Inventory!H:H, TODAY()))</f>
        <v/>
      </c>
    </row>
    <row r="993">
      <c r="E993">
        <f>IF(ISBLANK(A993), "", XLOOKUP(A993, Inventory!A:A, Inventory!E:E, 0))</f>
        <v/>
      </c>
      <c r="F993">
        <f>IF(ISBLANK(A993), "", (B993 * XLOOKUP(C993, 'Fees &amp; Postage Table'!A:A, 'Fees &amp; Postage Table'!C:C, 0)) + XLOOKUP(C993, 'Fees &amp; Postage Table'!A:A, 'Fees &amp; Postage Table'!B:B, 0))</f>
        <v/>
      </c>
      <c r="G993">
        <f>IF(ISBLANK(A993), "", XLOOKUP(C993, 'Fees &amp; Postage Table'!A:A, 'Fees &amp; Postage Table'!D:D, 0))</f>
        <v/>
      </c>
      <c r="H993">
        <f>IF(ISBLANK(A993), "", B993 - E993 - F993 - G993)</f>
        <v/>
      </c>
      <c r="I993">
        <f>IF(ISBLANK(A993), "", D993 - XLOOKUP(A993, Inventory!A:A, Inventory!H:H, TODAY()))</f>
        <v/>
      </c>
    </row>
    <row r="994">
      <c r="E994">
        <f>IF(ISBLANK(A994), "", XLOOKUP(A994, Inventory!A:A, Inventory!E:E, 0))</f>
        <v/>
      </c>
      <c r="F994">
        <f>IF(ISBLANK(A994), "", (B994 * XLOOKUP(C994, 'Fees &amp; Postage Table'!A:A, 'Fees &amp; Postage Table'!C:C, 0)) + XLOOKUP(C994, 'Fees &amp; Postage Table'!A:A, 'Fees &amp; Postage Table'!B:B, 0))</f>
        <v/>
      </c>
      <c r="G994">
        <f>IF(ISBLANK(A994), "", XLOOKUP(C994, 'Fees &amp; Postage Table'!A:A, 'Fees &amp; Postage Table'!D:D, 0))</f>
        <v/>
      </c>
      <c r="H994">
        <f>IF(ISBLANK(A994), "", B994 - E994 - F994 - G994)</f>
        <v/>
      </c>
      <c r="I994">
        <f>IF(ISBLANK(A994), "", D994 - XLOOKUP(A994, Inventory!A:A, Inventory!H:H, TODAY()))</f>
        <v/>
      </c>
    </row>
    <row r="995">
      <c r="E995">
        <f>IF(ISBLANK(A995), "", XLOOKUP(A995, Inventory!A:A, Inventory!E:E, 0))</f>
        <v/>
      </c>
      <c r="F995">
        <f>IF(ISBLANK(A995), "", (B995 * XLOOKUP(C995, 'Fees &amp; Postage Table'!A:A, 'Fees &amp; Postage Table'!C:C, 0)) + XLOOKUP(C995, 'Fees &amp; Postage Table'!A:A, 'Fees &amp; Postage Table'!B:B, 0))</f>
        <v/>
      </c>
      <c r="G995">
        <f>IF(ISBLANK(A995), "", XLOOKUP(C995, 'Fees &amp; Postage Table'!A:A, 'Fees &amp; Postage Table'!D:D, 0))</f>
        <v/>
      </c>
      <c r="H995">
        <f>IF(ISBLANK(A995), "", B995 - E995 - F995 - G995)</f>
        <v/>
      </c>
      <c r="I995">
        <f>IF(ISBLANK(A995), "", D995 - XLOOKUP(A995, Inventory!A:A, Inventory!H:H, TODAY()))</f>
        <v/>
      </c>
    </row>
    <row r="996">
      <c r="E996">
        <f>IF(ISBLANK(A996), "", XLOOKUP(A996, Inventory!A:A, Inventory!E:E, 0))</f>
        <v/>
      </c>
      <c r="F996">
        <f>IF(ISBLANK(A996), "", (B996 * XLOOKUP(C996, 'Fees &amp; Postage Table'!A:A, 'Fees &amp; Postage Table'!C:C, 0)) + XLOOKUP(C996, 'Fees &amp; Postage Table'!A:A, 'Fees &amp; Postage Table'!B:B, 0))</f>
        <v/>
      </c>
      <c r="G996">
        <f>IF(ISBLANK(A996), "", XLOOKUP(C996, 'Fees &amp; Postage Table'!A:A, 'Fees &amp; Postage Table'!D:D, 0))</f>
        <v/>
      </c>
      <c r="H996">
        <f>IF(ISBLANK(A996), "", B996 - E996 - F996 - G996)</f>
        <v/>
      </c>
      <c r="I996">
        <f>IF(ISBLANK(A996), "", D996 - XLOOKUP(A996, Inventory!A:A, Inventory!H:H, TODAY()))</f>
        <v/>
      </c>
    </row>
    <row r="997">
      <c r="E997">
        <f>IF(ISBLANK(A997), "", XLOOKUP(A997, Inventory!A:A, Inventory!E:E, 0))</f>
        <v/>
      </c>
      <c r="F997">
        <f>IF(ISBLANK(A997), "", (B997 * XLOOKUP(C997, 'Fees &amp; Postage Table'!A:A, 'Fees &amp; Postage Table'!C:C, 0)) + XLOOKUP(C997, 'Fees &amp; Postage Table'!A:A, 'Fees &amp; Postage Table'!B:B, 0))</f>
        <v/>
      </c>
      <c r="G997">
        <f>IF(ISBLANK(A997), "", XLOOKUP(C997, 'Fees &amp; Postage Table'!A:A, 'Fees &amp; Postage Table'!D:D, 0))</f>
        <v/>
      </c>
      <c r="H997">
        <f>IF(ISBLANK(A997), "", B997 - E997 - F997 - G997)</f>
        <v/>
      </c>
      <c r="I997">
        <f>IF(ISBLANK(A997), "", D997 - XLOOKUP(A997, Inventory!A:A, Inventory!H:H, TODAY()))</f>
        <v/>
      </c>
    </row>
    <row r="998">
      <c r="E998">
        <f>IF(ISBLANK(A998), "", XLOOKUP(A998, Inventory!A:A, Inventory!E:E, 0))</f>
        <v/>
      </c>
      <c r="F998">
        <f>IF(ISBLANK(A998), "", (B998 * XLOOKUP(C998, 'Fees &amp; Postage Table'!A:A, 'Fees &amp; Postage Table'!C:C, 0)) + XLOOKUP(C998, 'Fees &amp; Postage Table'!A:A, 'Fees &amp; Postage Table'!B:B, 0))</f>
        <v/>
      </c>
      <c r="G998">
        <f>IF(ISBLANK(A998), "", XLOOKUP(C998, 'Fees &amp; Postage Table'!A:A, 'Fees &amp; Postage Table'!D:D, 0))</f>
        <v/>
      </c>
      <c r="H998">
        <f>IF(ISBLANK(A998), "", B998 - E998 - F998 - G998)</f>
        <v/>
      </c>
      <c r="I998">
        <f>IF(ISBLANK(A998), "", D998 - XLOOKUP(A998, Inventory!A:A, Inventory!H:H, TODAY()))</f>
        <v/>
      </c>
    </row>
    <row r="999">
      <c r="E999">
        <f>IF(ISBLANK(A999), "", XLOOKUP(A999, Inventory!A:A, Inventory!E:E, 0))</f>
        <v/>
      </c>
      <c r="F999">
        <f>IF(ISBLANK(A999), "", (B999 * XLOOKUP(C999, 'Fees &amp; Postage Table'!A:A, 'Fees &amp; Postage Table'!C:C, 0)) + XLOOKUP(C999, 'Fees &amp; Postage Table'!A:A, 'Fees &amp; Postage Table'!B:B, 0))</f>
        <v/>
      </c>
      <c r="G999">
        <f>IF(ISBLANK(A999), "", XLOOKUP(C999, 'Fees &amp; Postage Table'!A:A, 'Fees &amp; Postage Table'!D:D, 0))</f>
        <v/>
      </c>
      <c r="H999">
        <f>IF(ISBLANK(A999), "", B999 - E999 - F999 - G999)</f>
        <v/>
      </c>
      <c r="I999">
        <f>IF(ISBLANK(A999), "", D999 - XLOOKUP(A999, Inventory!A:A, Inventory!H:H, TODAY()))</f>
        <v/>
      </c>
    </row>
    <row r="1000">
      <c r="E1000">
        <f>IF(ISBLANK(A1000), "", XLOOKUP(A1000, Inventory!A:A, Inventory!E:E, 0))</f>
        <v/>
      </c>
      <c r="F1000">
        <f>IF(ISBLANK(A1000), "", (B1000 * XLOOKUP(C1000, 'Fees &amp; Postage Table'!A:A, 'Fees &amp; Postage Table'!C:C, 0)) + XLOOKUP(C1000, 'Fees &amp; Postage Table'!A:A, 'Fees &amp; Postage Table'!B:B, 0))</f>
        <v/>
      </c>
      <c r="G1000">
        <f>IF(ISBLANK(A1000), "", XLOOKUP(C1000, 'Fees &amp; Postage Table'!A:A, 'Fees &amp; Postage Table'!D:D, 0))</f>
        <v/>
      </c>
      <c r="H1000">
        <f>IF(ISBLANK(A1000), "", B1000 - E1000 - F1000 - G1000)</f>
        <v/>
      </c>
      <c r="I1000">
        <f>IF(ISBLANK(A1000), "", D1000 - XLOOKUP(A1000, Inventory!A:A, Inventory!H:H, TODAY()))</f>
        <v/>
      </c>
    </row>
    <row r="1001">
      <c r="E1001">
        <f>IF(ISBLANK(A1001), "", XLOOKUP(A1001, Inventory!A:A, Inventory!E:E, 0))</f>
        <v/>
      </c>
      <c r="F1001">
        <f>IF(ISBLANK(A1001), "", (B1001 * XLOOKUP(C1001, 'Fees &amp; Postage Table'!A:A, 'Fees &amp; Postage Table'!C:C, 0)) + XLOOKUP(C1001, 'Fees &amp; Postage Table'!A:A, 'Fees &amp; Postage Table'!B:B, 0))</f>
        <v/>
      </c>
      <c r="G1001">
        <f>IF(ISBLANK(A1001), "", XLOOKUP(C1001, 'Fees &amp; Postage Table'!A:A, 'Fees &amp; Postage Table'!D:D, 0))</f>
        <v/>
      </c>
      <c r="H1001">
        <f>IF(ISBLANK(A1001), "", B1001 - E1001 - F1001 - G1001)</f>
        <v/>
      </c>
      <c r="I1001">
        <f>IF(ISBLANK(A1001), "", D1001 - XLOOKUP(A1001, Inventory!A:A, Inventory!H:H, TODAY()))</f>
        <v/>
      </c>
    </row>
    <row r="1002">
      <c r="E1002">
        <f>IF(ISBLANK(A1002), "", XLOOKUP(A1002, Inventory!A:A, Inventory!E:E, 0))</f>
        <v/>
      </c>
      <c r="F1002">
        <f>IF(ISBLANK(A1002), "", (B1002 * XLOOKUP(C1002, 'Fees &amp; Postage Table'!A:A, 'Fees &amp; Postage Table'!C:C, 0)) + XLOOKUP(C1002, 'Fees &amp; Postage Table'!A:A, 'Fees &amp; Postage Table'!B:B, 0))</f>
        <v/>
      </c>
      <c r="G1002">
        <f>IF(ISBLANK(A1002), "", XLOOKUP(C1002, 'Fees &amp; Postage Table'!A:A, 'Fees &amp; Postage Table'!D:D, 0))</f>
        <v/>
      </c>
      <c r="H1002">
        <f>IF(ISBLANK(A1002), "", B1002 - E1002 - F1002 - G1002)</f>
        <v/>
      </c>
      <c r="I1002">
        <f>IF(ISBLANK(A1002), "", D1002 - XLOOKUP(A1002, Inventory!A:A, Inventory!H:H, TODAY()))</f>
        <v/>
      </c>
    </row>
    <row r="1003">
      <c r="E1003">
        <f>IF(ISBLANK(A1003), "", XLOOKUP(A1003, Inventory!A:A, Inventory!E:E, 0))</f>
        <v/>
      </c>
      <c r="F1003">
        <f>IF(ISBLANK(A1003), "", (B1003 * XLOOKUP(C1003, 'Fees &amp; Postage Table'!A:A, 'Fees &amp; Postage Table'!C:C, 0)) + XLOOKUP(C1003, 'Fees &amp; Postage Table'!A:A, 'Fees &amp; Postage Table'!B:B, 0))</f>
        <v/>
      </c>
      <c r="G1003">
        <f>IF(ISBLANK(A1003), "", XLOOKUP(C1003, 'Fees &amp; Postage Table'!A:A, 'Fees &amp; Postage Table'!D:D, 0))</f>
        <v/>
      </c>
      <c r="H1003">
        <f>IF(ISBLANK(A1003), "", B1003 - E1003 - F1003 - G1003)</f>
        <v/>
      </c>
      <c r="I1003">
        <f>IF(ISBLANK(A1003), "", D1003 - XLOOKUP(A1003, Inventory!A:A, Inventory!H:H, TODAY()))</f>
        <v/>
      </c>
    </row>
    <row r="1004">
      <c r="E1004">
        <f>IF(ISBLANK(A1004), "", XLOOKUP(A1004, Inventory!A:A, Inventory!E:E, 0))</f>
        <v/>
      </c>
      <c r="F1004">
        <f>IF(ISBLANK(A1004), "", (B1004 * XLOOKUP(C1004, 'Fees &amp; Postage Table'!A:A, 'Fees &amp; Postage Table'!C:C, 0)) + XLOOKUP(C1004, 'Fees &amp; Postage Table'!A:A, 'Fees &amp; Postage Table'!B:B, 0))</f>
        <v/>
      </c>
      <c r="G1004">
        <f>IF(ISBLANK(A1004), "", XLOOKUP(C1004, 'Fees &amp; Postage Table'!A:A, 'Fees &amp; Postage Table'!D:D, 0))</f>
        <v/>
      </c>
      <c r="H1004">
        <f>IF(ISBLANK(A1004), "", B1004 - E1004 - F1004 - G1004)</f>
        <v/>
      </c>
      <c r="I1004">
        <f>IF(ISBLANK(A1004), "", D1004 - XLOOKUP(A1004, Inventory!A:A, Inventory!H:H, TODAY()))</f>
        <v/>
      </c>
    </row>
    <row r="1005">
      <c r="E1005">
        <f>IF(ISBLANK(A1005), "", XLOOKUP(A1005, Inventory!A:A, Inventory!E:E, 0))</f>
        <v/>
      </c>
      <c r="F1005">
        <f>IF(ISBLANK(A1005), "", (B1005 * XLOOKUP(C1005, 'Fees &amp; Postage Table'!A:A, 'Fees &amp; Postage Table'!C:C, 0)) + XLOOKUP(C1005, 'Fees &amp; Postage Table'!A:A, 'Fees &amp; Postage Table'!B:B, 0))</f>
        <v/>
      </c>
      <c r="G1005">
        <f>IF(ISBLANK(A1005), "", XLOOKUP(C1005, 'Fees &amp; Postage Table'!A:A, 'Fees &amp; Postage Table'!D:D, 0))</f>
        <v/>
      </c>
      <c r="H1005">
        <f>IF(ISBLANK(A1005), "", B1005 - E1005 - F1005 - G1005)</f>
        <v/>
      </c>
      <c r="I1005">
        <f>IF(ISBLANK(A1005), "", D1005 - XLOOKUP(A1005, Inventory!A:A, Inventory!H:H, TODAY()))</f>
        <v/>
      </c>
    </row>
    <row r="1006">
      <c r="E1006">
        <f>IF(ISBLANK(A1006), "", XLOOKUP(A1006, Inventory!A:A, Inventory!E:E, 0))</f>
        <v/>
      </c>
      <c r="F1006">
        <f>IF(ISBLANK(A1006), "", (B1006 * XLOOKUP(C1006, 'Fees &amp; Postage Table'!A:A, 'Fees &amp; Postage Table'!C:C, 0)) + XLOOKUP(C1006, 'Fees &amp; Postage Table'!A:A, 'Fees &amp; Postage Table'!B:B, 0))</f>
        <v/>
      </c>
      <c r="G1006">
        <f>IF(ISBLANK(A1006), "", XLOOKUP(C1006, 'Fees &amp; Postage Table'!A:A, 'Fees &amp; Postage Table'!D:D, 0))</f>
        <v/>
      </c>
      <c r="H1006">
        <f>IF(ISBLANK(A1006), "", B1006 - E1006 - F1006 - G1006)</f>
        <v/>
      </c>
      <c r="I1006">
        <f>IF(ISBLANK(A1006), "", D1006 - XLOOKUP(A1006, Inventory!A:A, Inventory!H:H, TODAY()))</f>
        <v/>
      </c>
    </row>
    <row r="1007">
      <c r="E1007">
        <f>IF(ISBLANK(A1007), "", XLOOKUP(A1007, Inventory!A:A, Inventory!E:E, 0))</f>
        <v/>
      </c>
      <c r="F1007">
        <f>IF(ISBLANK(A1007), "", (B1007 * XLOOKUP(C1007, 'Fees &amp; Postage Table'!A:A, 'Fees &amp; Postage Table'!C:C, 0)) + XLOOKUP(C1007, 'Fees &amp; Postage Table'!A:A, 'Fees &amp; Postage Table'!B:B, 0))</f>
        <v/>
      </c>
      <c r="G1007">
        <f>IF(ISBLANK(A1007), "", XLOOKUP(C1007, 'Fees &amp; Postage Table'!A:A, 'Fees &amp; Postage Table'!D:D, 0))</f>
        <v/>
      </c>
      <c r="H1007">
        <f>IF(ISBLANK(A1007), "", B1007 - E1007 - F1007 - G1007)</f>
        <v/>
      </c>
      <c r="I1007">
        <f>IF(ISBLANK(A1007), "", D1007 - XLOOKUP(A1007, Inventory!A:A, Inventory!H:H, TODAY()))</f>
        <v/>
      </c>
    </row>
    <row r="1008">
      <c r="E1008">
        <f>IF(ISBLANK(A1008), "", XLOOKUP(A1008, Inventory!A:A, Inventory!E:E, 0))</f>
        <v/>
      </c>
      <c r="F1008">
        <f>IF(ISBLANK(A1008), "", (B1008 * XLOOKUP(C1008, 'Fees &amp; Postage Table'!A:A, 'Fees &amp; Postage Table'!C:C, 0)) + XLOOKUP(C1008, 'Fees &amp; Postage Table'!A:A, 'Fees &amp; Postage Table'!B:B, 0))</f>
        <v/>
      </c>
      <c r="G1008">
        <f>IF(ISBLANK(A1008), "", XLOOKUP(C1008, 'Fees &amp; Postage Table'!A:A, 'Fees &amp; Postage Table'!D:D, 0))</f>
        <v/>
      </c>
      <c r="H1008">
        <f>IF(ISBLANK(A1008), "", B1008 - E1008 - F1008 - G1008)</f>
        <v/>
      </c>
      <c r="I1008">
        <f>IF(ISBLANK(A1008), "", D1008 - XLOOKUP(A1008, Inventory!A:A, Inventory!H:H, TODAY()))</f>
        <v/>
      </c>
    </row>
    <row r="1009">
      <c r="E1009">
        <f>IF(ISBLANK(A1009), "", XLOOKUP(A1009, Inventory!A:A, Inventory!E:E, 0))</f>
        <v/>
      </c>
      <c r="F1009">
        <f>IF(ISBLANK(A1009), "", (B1009 * XLOOKUP(C1009, 'Fees &amp; Postage Table'!A:A, 'Fees &amp; Postage Table'!C:C, 0)) + XLOOKUP(C1009, 'Fees &amp; Postage Table'!A:A, 'Fees &amp; Postage Table'!B:B, 0))</f>
        <v/>
      </c>
      <c r="G1009">
        <f>IF(ISBLANK(A1009), "", XLOOKUP(C1009, 'Fees &amp; Postage Table'!A:A, 'Fees &amp; Postage Table'!D:D, 0))</f>
        <v/>
      </c>
      <c r="H1009">
        <f>IF(ISBLANK(A1009), "", B1009 - E1009 - F1009 - G1009)</f>
        <v/>
      </c>
      <c r="I1009">
        <f>IF(ISBLANK(A1009), "", D1009 - XLOOKUP(A1009, Inventory!A:A, Inventory!H:H, TODAY()))</f>
        <v/>
      </c>
    </row>
    <row r="1010">
      <c r="E1010">
        <f>IF(ISBLANK(A1010), "", XLOOKUP(A1010, Inventory!A:A, Inventory!E:E, 0))</f>
        <v/>
      </c>
      <c r="F1010">
        <f>IF(ISBLANK(A1010), "", (B1010 * XLOOKUP(C1010, 'Fees &amp; Postage Table'!A:A, 'Fees &amp; Postage Table'!C:C, 0)) + XLOOKUP(C1010, 'Fees &amp; Postage Table'!A:A, 'Fees &amp; Postage Table'!B:B, 0))</f>
        <v/>
      </c>
      <c r="G1010">
        <f>IF(ISBLANK(A1010), "", XLOOKUP(C1010, 'Fees &amp; Postage Table'!A:A, 'Fees &amp; Postage Table'!D:D, 0))</f>
        <v/>
      </c>
      <c r="H1010">
        <f>IF(ISBLANK(A1010), "", B1010 - E1010 - F1010 - G1010)</f>
        <v/>
      </c>
      <c r="I1010">
        <f>IF(ISBLANK(A1010), "", D1010 - XLOOKUP(A1010, Inventory!A:A, Inventory!H:H, TODAY()))</f>
        <v/>
      </c>
    </row>
    <row r="1011">
      <c r="E1011">
        <f>IF(ISBLANK(A1011), "", XLOOKUP(A1011, Inventory!A:A, Inventory!E:E, 0))</f>
        <v/>
      </c>
      <c r="F1011">
        <f>IF(ISBLANK(A1011), "", (B1011 * XLOOKUP(C1011, 'Fees &amp; Postage Table'!A:A, 'Fees &amp; Postage Table'!C:C, 0)) + XLOOKUP(C1011, 'Fees &amp; Postage Table'!A:A, 'Fees &amp; Postage Table'!B:B, 0))</f>
        <v/>
      </c>
      <c r="G1011">
        <f>IF(ISBLANK(A1011), "", XLOOKUP(C1011, 'Fees &amp; Postage Table'!A:A, 'Fees &amp; Postage Table'!D:D, 0))</f>
        <v/>
      </c>
      <c r="H1011">
        <f>IF(ISBLANK(A1011), "", B1011 - E1011 - F1011 - G1011)</f>
        <v/>
      </c>
      <c r="I1011">
        <f>IF(ISBLANK(A1011), "", D1011 - XLOOKUP(A1011, Inventory!A:A, Inventory!H:H, TODAY()))</f>
        <v/>
      </c>
    </row>
    <row r="1012">
      <c r="E1012">
        <f>IF(ISBLANK(A1012), "", XLOOKUP(A1012, Inventory!A:A, Inventory!E:E, 0))</f>
        <v/>
      </c>
      <c r="F1012">
        <f>IF(ISBLANK(A1012), "", (B1012 * XLOOKUP(C1012, 'Fees &amp; Postage Table'!A:A, 'Fees &amp; Postage Table'!C:C, 0)) + XLOOKUP(C1012, 'Fees &amp; Postage Table'!A:A, 'Fees &amp; Postage Table'!B:B, 0))</f>
        <v/>
      </c>
      <c r="G1012">
        <f>IF(ISBLANK(A1012), "", XLOOKUP(C1012, 'Fees &amp; Postage Table'!A:A, 'Fees &amp; Postage Table'!D:D, 0))</f>
        <v/>
      </c>
      <c r="H1012">
        <f>IF(ISBLANK(A1012), "", B1012 - E1012 - F1012 - G1012)</f>
        <v/>
      </c>
      <c r="I1012">
        <f>IF(ISBLANK(A1012), "", D1012 - XLOOKUP(A1012, Inventory!A:A, Inventory!H:H, TODAY()))</f>
        <v/>
      </c>
    </row>
    <row r="1013">
      <c r="E1013">
        <f>IF(ISBLANK(A1013), "", XLOOKUP(A1013, Inventory!A:A, Inventory!E:E, 0))</f>
        <v/>
      </c>
      <c r="F1013">
        <f>IF(ISBLANK(A1013), "", (B1013 * XLOOKUP(C1013, 'Fees &amp; Postage Table'!A:A, 'Fees &amp; Postage Table'!C:C, 0)) + XLOOKUP(C1013, 'Fees &amp; Postage Table'!A:A, 'Fees &amp; Postage Table'!B:B, 0))</f>
        <v/>
      </c>
      <c r="G1013">
        <f>IF(ISBLANK(A1013), "", XLOOKUP(C1013, 'Fees &amp; Postage Table'!A:A, 'Fees &amp; Postage Table'!D:D, 0))</f>
        <v/>
      </c>
      <c r="H1013">
        <f>IF(ISBLANK(A1013), "", B1013 - E1013 - F1013 - G1013)</f>
        <v/>
      </c>
      <c r="I1013">
        <f>IF(ISBLANK(A1013), "", D1013 - XLOOKUP(A1013, Inventory!A:A, Inventory!H:H, TODAY()))</f>
        <v/>
      </c>
    </row>
    <row r="1014">
      <c r="E1014">
        <f>IF(ISBLANK(A1014), "", XLOOKUP(A1014, Inventory!A:A, Inventory!E:E, 0))</f>
        <v/>
      </c>
      <c r="F1014">
        <f>IF(ISBLANK(A1014), "", (B1014 * XLOOKUP(C1014, 'Fees &amp; Postage Table'!A:A, 'Fees &amp; Postage Table'!C:C, 0)) + XLOOKUP(C1014, 'Fees &amp; Postage Table'!A:A, 'Fees &amp; Postage Table'!B:B, 0))</f>
        <v/>
      </c>
      <c r="G1014">
        <f>IF(ISBLANK(A1014), "", XLOOKUP(C1014, 'Fees &amp; Postage Table'!A:A, 'Fees &amp; Postage Table'!D:D, 0))</f>
        <v/>
      </c>
      <c r="H1014">
        <f>IF(ISBLANK(A1014), "", B1014 - E1014 - F1014 - G1014)</f>
        <v/>
      </c>
      <c r="I1014">
        <f>IF(ISBLANK(A1014), "", D1014 - XLOOKUP(A1014, Inventory!A:A, Inventory!H:H, TODAY()))</f>
        <v/>
      </c>
    </row>
    <row r="1015">
      <c r="E1015">
        <f>IF(ISBLANK(A1015), "", XLOOKUP(A1015, Inventory!A:A, Inventory!E:E, 0))</f>
        <v/>
      </c>
      <c r="F1015">
        <f>IF(ISBLANK(A1015), "", (B1015 * XLOOKUP(C1015, 'Fees &amp; Postage Table'!A:A, 'Fees &amp; Postage Table'!C:C, 0)) + XLOOKUP(C1015, 'Fees &amp; Postage Table'!A:A, 'Fees &amp; Postage Table'!B:B, 0))</f>
        <v/>
      </c>
      <c r="G1015">
        <f>IF(ISBLANK(A1015), "", XLOOKUP(C1015, 'Fees &amp; Postage Table'!A:A, 'Fees &amp; Postage Table'!D:D, 0))</f>
        <v/>
      </c>
      <c r="H1015">
        <f>IF(ISBLANK(A1015), "", B1015 - E1015 - F1015 - G1015)</f>
        <v/>
      </c>
      <c r="I1015">
        <f>IF(ISBLANK(A1015), "", D1015 - XLOOKUP(A1015, Inventory!A:A, Inventory!H:H, TODAY()))</f>
        <v/>
      </c>
    </row>
    <row r="1016">
      <c r="E1016">
        <f>IF(ISBLANK(A1016), "", XLOOKUP(A1016, Inventory!A:A, Inventory!E:E, 0))</f>
        <v/>
      </c>
      <c r="F1016">
        <f>IF(ISBLANK(A1016), "", (B1016 * XLOOKUP(C1016, 'Fees &amp; Postage Table'!A:A, 'Fees &amp; Postage Table'!C:C, 0)) + XLOOKUP(C1016, 'Fees &amp; Postage Table'!A:A, 'Fees &amp; Postage Table'!B:B, 0))</f>
        <v/>
      </c>
      <c r="G1016">
        <f>IF(ISBLANK(A1016), "", XLOOKUP(C1016, 'Fees &amp; Postage Table'!A:A, 'Fees &amp; Postage Table'!D:D, 0))</f>
        <v/>
      </c>
      <c r="H1016">
        <f>IF(ISBLANK(A1016), "", B1016 - E1016 - F1016 - G1016)</f>
        <v/>
      </c>
      <c r="I1016">
        <f>IF(ISBLANK(A1016), "", D1016 - XLOOKUP(A1016, Inventory!A:A, Inventory!H:H, TODAY()))</f>
        <v/>
      </c>
    </row>
    <row r="1017">
      <c r="E1017">
        <f>IF(ISBLANK(A1017), "", XLOOKUP(A1017, Inventory!A:A, Inventory!E:E, 0))</f>
        <v/>
      </c>
      <c r="F1017">
        <f>IF(ISBLANK(A1017), "", (B1017 * XLOOKUP(C1017, 'Fees &amp; Postage Table'!A:A, 'Fees &amp; Postage Table'!C:C, 0)) + XLOOKUP(C1017, 'Fees &amp; Postage Table'!A:A, 'Fees &amp; Postage Table'!B:B, 0))</f>
        <v/>
      </c>
      <c r="G1017">
        <f>IF(ISBLANK(A1017), "", XLOOKUP(C1017, 'Fees &amp; Postage Table'!A:A, 'Fees &amp; Postage Table'!D:D, 0))</f>
        <v/>
      </c>
      <c r="H1017">
        <f>IF(ISBLANK(A1017), "", B1017 - E1017 - F1017 - G1017)</f>
        <v/>
      </c>
      <c r="I1017">
        <f>IF(ISBLANK(A1017), "", D1017 - XLOOKUP(A1017, Inventory!A:A, Inventory!H:H, TODAY()))</f>
        <v/>
      </c>
    </row>
    <row r="1018">
      <c r="E1018">
        <f>IF(ISBLANK(A1018), "", XLOOKUP(A1018, Inventory!A:A, Inventory!E:E, 0))</f>
        <v/>
      </c>
      <c r="F1018">
        <f>IF(ISBLANK(A1018), "", (B1018 * XLOOKUP(C1018, 'Fees &amp; Postage Table'!A:A, 'Fees &amp; Postage Table'!C:C, 0)) + XLOOKUP(C1018, 'Fees &amp; Postage Table'!A:A, 'Fees &amp; Postage Table'!B:B, 0))</f>
        <v/>
      </c>
      <c r="G1018">
        <f>IF(ISBLANK(A1018), "", XLOOKUP(C1018, 'Fees &amp; Postage Table'!A:A, 'Fees &amp; Postage Table'!D:D, 0))</f>
        <v/>
      </c>
      <c r="H1018">
        <f>IF(ISBLANK(A1018), "", B1018 - E1018 - F1018 - G1018)</f>
        <v/>
      </c>
      <c r="I1018">
        <f>IF(ISBLANK(A1018), "", D1018 - XLOOKUP(A1018, Inventory!A:A, Inventory!H:H, TODAY()))</f>
        <v/>
      </c>
    </row>
    <row r="1019">
      <c r="E1019">
        <f>IF(ISBLANK(A1019), "", XLOOKUP(A1019, Inventory!A:A, Inventory!E:E, 0))</f>
        <v/>
      </c>
      <c r="F1019">
        <f>IF(ISBLANK(A1019), "", (B1019 * XLOOKUP(C1019, 'Fees &amp; Postage Table'!A:A, 'Fees &amp; Postage Table'!C:C, 0)) + XLOOKUP(C1019, 'Fees &amp; Postage Table'!A:A, 'Fees &amp; Postage Table'!B:B, 0))</f>
        <v/>
      </c>
      <c r="G1019">
        <f>IF(ISBLANK(A1019), "", XLOOKUP(C1019, 'Fees &amp; Postage Table'!A:A, 'Fees &amp; Postage Table'!D:D, 0))</f>
        <v/>
      </c>
      <c r="H1019">
        <f>IF(ISBLANK(A1019), "", B1019 - E1019 - F1019 - G1019)</f>
        <v/>
      </c>
      <c r="I1019">
        <f>IF(ISBLANK(A1019), "", D1019 - XLOOKUP(A1019, Inventory!A:A, Inventory!H:H, TODAY()))</f>
        <v/>
      </c>
    </row>
    <row r="1020">
      <c r="E1020">
        <f>IF(ISBLANK(A1020), "", XLOOKUP(A1020, Inventory!A:A, Inventory!E:E, 0))</f>
        <v/>
      </c>
      <c r="F1020">
        <f>IF(ISBLANK(A1020), "", (B1020 * XLOOKUP(C1020, 'Fees &amp; Postage Table'!A:A, 'Fees &amp; Postage Table'!C:C, 0)) + XLOOKUP(C1020, 'Fees &amp; Postage Table'!A:A, 'Fees &amp; Postage Table'!B:B, 0))</f>
        <v/>
      </c>
      <c r="G1020">
        <f>IF(ISBLANK(A1020), "", XLOOKUP(C1020, 'Fees &amp; Postage Table'!A:A, 'Fees &amp; Postage Table'!D:D, 0))</f>
        <v/>
      </c>
      <c r="H1020">
        <f>IF(ISBLANK(A1020), "", B1020 - E1020 - F1020 - G1020)</f>
        <v/>
      </c>
      <c r="I1020">
        <f>IF(ISBLANK(A1020), "", D1020 - XLOOKUP(A1020, Inventory!A:A, Inventory!H:H, TODAY()))</f>
        <v/>
      </c>
    </row>
    <row r="1021">
      <c r="E1021">
        <f>IF(ISBLANK(A1021), "", XLOOKUP(A1021, Inventory!A:A, Inventory!E:E, 0))</f>
        <v/>
      </c>
      <c r="F1021">
        <f>IF(ISBLANK(A1021), "", (B1021 * XLOOKUP(C1021, 'Fees &amp; Postage Table'!A:A, 'Fees &amp; Postage Table'!C:C, 0)) + XLOOKUP(C1021, 'Fees &amp; Postage Table'!A:A, 'Fees &amp; Postage Table'!B:B, 0))</f>
        <v/>
      </c>
      <c r="G1021">
        <f>IF(ISBLANK(A1021), "", XLOOKUP(C1021, 'Fees &amp; Postage Table'!A:A, 'Fees &amp; Postage Table'!D:D, 0))</f>
        <v/>
      </c>
      <c r="H1021">
        <f>IF(ISBLANK(A1021), "", B1021 - E1021 - F1021 - G1021)</f>
        <v/>
      </c>
      <c r="I1021">
        <f>IF(ISBLANK(A1021), "", D1021 - XLOOKUP(A1021, Inventory!A:A, Inventory!H:H, TODAY()))</f>
        <v/>
      </c>
    </row>
    <row r="1022">
      <c r="E1022">
        <f>IF(ISBLANK(A1022), "", XLOOKUP(A1022, Inventory!A:A, Inventory!E:E, 0))</f>
        <v/>
      </c>
      <c r="F1022">
        <f>IF(ISBLANK(A1022), "", (B1022 * XLOOKUP(C1022, 'Fees &amp; Postage Table'!A:A, 'Fees &amp; Postage Table'!C:C, 0)) + XLOOKUP(C1022, 'Fees &amp; Postage Table'!A:A, 'Fees &amp; Postage Table'!B:B, 0))</f>
        <v/>
      </c>
      <c r="G1022">
        <f>IF(ISBLANK(A1022), "", XLOOKUP(C1022, 'Fees &amp; Postage Table'!A:A, 'Fees &amp; Postage Table'!D:D, 0))</f>
        <v/>
      </c>
      <c r="H1022">
        <f>IF(ISBLANK(A1022), "", B1022 - E1022 - F1022 - G1022)</f>
        <v/>
      </c>
      <c r="I1022">
        <f>IF(ISBLANK(A1022), "", D1022 - XLOOKUP(A1022, Inventory!A:A, Inventory!H:H, TODAY()))</f>
        <v/>
      </c>
    </row>
    <row r="1023">
      <c r="E1023">
        <f>IF(ISBLANK(A1023), "", XLOOKUP(A1023, Inventory!A:A, Inventory!E:E, 0))</f>
        <v/>
      </c>
      <c r="F1023">
        <f>IF(ISBLANK(A1023), "", (B1023 * XLOOKUP(C1023, 'Fees &amp; Postage Table'!A:A, 'Fees &amp; Postage Table'!C:C, 0)) + XLOOKUP(C1023, 'Fees &amp; Postage Table'!A:A, 'Fees &amp; Postage Table'!B:B, 0))</f>
        <v/>
      </c>
      <c r="G1023">
        <f>IF(ISBLANK(A1023), "", XLOOKUP(C1023, 'Fees &amp; Postage Table'!A:A, 'Fees &amp; Postage Table'!D:D, 0))</f>
        <v/>
      </c>
      <c r="H1023">
        <f>IF(ISBLANK(A1023), "", B1023 - E1023 - F1023 - G1023)</f>
        <v/>
      </c>
      <c r="I1023">
        <f>IF(ISBLANK(A1023), "", D1023 - XLOOKUP(A1023, Inventory!A:A, Inventory!H:H, TODAY()))</f>
        <v/>
      </c>
    </row>
    <row r="1024">
      <c r="E1024">
        <f>IF(ISBLANK(A1024), "", XLOOKUP(A1024, Inventory!A:A, Inventory!E:E, 0))</f>
        <v/>
      </c>
      <c r="F1024">
        <f>IF(ISBLANK(A1024), "", (B1024 * XLOOKUP(C1024, 'Fees &amp; Postage Table'!A:A, 'Fees &amp; Postage Table'!C:C, 0)) + XLOOKUP(C1024, 'Fees &amp; Postage Table'!A:A, 'Fees &amp; Postage Table'!B:B, 0))</f>
        <v/>
      </c>
      <c r="G1024">
        <f>IF(ISBLANK(A1024), "", XLOOKUP(C1024, 'Fees &amp; Postage Table'!A:A, 'Fees &amp; Postage Table'!D:D, 0))</f>
        <v/>
      </c>
      <c r="H1024">
        <f>IF(ISBLANK(A1024), "", B1024 - E1024 - F1024 - G1024)</f>
        <v/>
      </c>
      <c r="I1024">
        <f>IF(ISBLANK(A1024), "", D1024 - XLOOKUP(A1024, Inventory!A:A, Inventory!H:H, TODAY()))</f>
        <v/>
      </c>
    </row>
    <row r="1025">
      <c r="E1025">
        <f>IF(ISBLANK(A1025), "", XLOOKUP(A1025, Inventory!A:A, Inventory!E:E, 0))</f>
        <v/>
      </c>
      <c r="F1025">
        <f>IF(ISBLANK(A1025), "", (B1025 * XLOOKUP(C1025, 'Fees &amp; Postage Table'!A:A, 'Fees &amp; Postage Table'!C:C, 0)) + XLOOKUP(C1025, 'Fees &amp; Postage Table'!A:A, 'Fees &amp; Postage Table'!B:B, 0))</f>
        <v/>
      </c>
      <c r="G1025">
        <f>IF(ISBLANK(A1025), "", XLOOKUP(C1025, 'Fees &amp; Postage Table'!A:A, 'Fees &amp; Postage Table'!D:D, 0))</f>
        <v/>
      </c>
      <c r="H1025">
        <f>IF(ISBLANK(A1025), "", B1025 - E1025 - F1025 - G1025)</f>
        <v/>
      </c>
      <c r="I1025">
        <f>IF(ISBLANK(A1025), "", D1025 - XLOOKUP(A1025, Inventory!A:A, Inventory!H:H, TODAY()))</f>
        <v/>
      </c>
    </row>
    <row r="1026">
      <c r="E1026">
        <f>IF(ISBLANK(A1026), "", XLOOKUP(A1026, Inventory!A:A, Inventory!E:E, 0))</f>
        <v/>
      </c>
      <c r="F1026">
        <f>IF(ISBLANK(A1026), "", (B1026 * XLOOKUP(C1026, 'Fees &amp; Postage Table'!A:A, 'Fees &amp; Postage Table'!C:C, 0)) + XLOOKUP(C1026, 'Fees &amp; Postage Table'!A:A, 'Fees &amp; Postage Table'!B:B, 0))</f>
        <v/>
      </c>
      <c r="G1026">
        <f>IF(ISBLANK(A1026), "", XLOOKUP(C1026, 'Fees &amp; Postage Table'!A:A, 'Fees &amp; Postage Table'!D:D, 0))</f>
        <v/>
      </c>
      <c r="H1026">
        <f>IF(ISBLANK(A1026), "", B1026 - E1026 - F1026 - G1026)</f>
        <v/>
      </c>
      <c r="I1026">
        <f>IF(ISBLANK(A1026), "", D1026 - XLOOKUP(A1026, Inventory!A:A, Inventory!H:H, TODAY()))</f>
        <v/>
      </c>
    </row>
    <row r="1027">
      <c r="E1027">
        <f>IF(ISBLANK(A1027), "", XLOOKUP(A1027, Inventory!A:A, Inventory!E:E, 0))</f>
        <v/>
      </c>
      <c r="F1027">
        <f>IF(ISBLANK(A1027), "", (B1027 * XLOOKUP(C1027, 'Fees &amp; Postage Table'!A:A, 'Fees &amp; Postage Table'!C:C, 0)) + XLOOKUP(C1027, 'Fees &amp; Postage Table'!A:A, 'Fees &amp; Postage Table'!B:B, 0))</f>
        <v/>
      </c>
      <c r="G1027">
        <f>IF(ISBLANK(A1027), "", XLOOKUP(C1027, 'Fees &amp; Postage Table'!A:A, 'Fees &amp; Postage Table'!D:D, 0))</f>
        <v/>
      </c>
      <c r="H1027">
        <f>IF(ISBLANK(A1027), "", B1027 - E1027 - F1027 - G1027)</f>
        <v/>
      </c>
      <c r="I1027">
        <f>IF(ISBLANK(A1027), "", D1027 - XLOOKUP(A1027, Inventory!A:A, Inventory!H:H, TODAY()))</f>
        <v/>
      </c>
    </row>
    <row r="1028">
      <c r="E1028">
        <f>IF(ISBLANK(A1028), "", XLOOKUP(A1028, Inventory!A:A, Inventory!E:E, 0))</f>
        <v/>
      </c>
      <c r="F1028">
        <f>IF(ISBLANK(A1028), "", (B1028 * XLOOKUP(C1028, 'Fees &amp; Postage Table'!A:A, 'Fees &amp; Postage Table'!C:C, 0)) + XLOOKUP(C1028, 'Fees &amp; Postage Table'!A:A, 'Fees &amp; Postage Table'!B:B, 0))</f>
        <v/>
      </c>
      <c r="G1028">
        <f>IF(ISBLANK(A1028), "", XLOOKUP(C1028, 'Fees &amp; Postage Table'!A:A, 'Fees &amp; Postage Table'!D:D, 0))</f>
        <v/>
      </c>
      <c r="H1028">
        <f>IF(ISBLANK(A1028), "", B1028 - E1028 - F1028 - G1028)</f>
        <v/>
      </c>
      <c r="I1028">
        <f>IF(ISBLANK(A1028), "", D1028 - XLOOKUP(A1028, Inventory!A:A, Inventory!H:H, TODAY()))</f>
        <v/>
      </c>
    </row>
    <row r="1029">
      <c r="E1029">
        <f>IF(ISBLANK(A1029), "", XLOOKUP(A1029, Inventory!A:A, Inventory!E:E, 0))</f>
        <v/>
      </c>
      <c r="F1029">
        <f>IF(ISBLANK(A1029), "", (B1029 * XLOOKUP(C1029, 'Fees &amp; Postage Table'!A:A, 'Fees &amp; Postage Table'!C:C, 0)) + XLOOKUP(C1029, 'Fees &amp; Postage Table'!A:A, 'Fees &amp; Postage Table'!B:B, 0))</f>
        <v/>
      </c>
      <c r="G1029">
        <f>IF(ISBLANK(A1029), "", XLOOKUP(C1029, 'Fees &amp; Postage Table'!A:A, 'Fees &amp; Postage Table'!D:D, 0))</f>
        <v/>
      </c>
      <c r="H1029">
        <f>IF(ISBLANK(A1029), "", B1029 - E1029 - F1029 - G1029)</f>
        <v/>
      </c>
      <c r="I1029">
        <f>IF(ISBLANK(A1029), "", D1029 - XLOOKUP(A1029, Inventory!A:A, Inventory!H:H, TODAY()))</f>
        <v/>
      </c>
    </row>
    <row r="1030">
      <c r="E1030">
        <f>IF(ISBLANK(A1030), "", XLOOKUP(A1030, Inventory!A:A, Inventory!E:E, 0))</f>
        <v/>
      </c>
      <c r="F1030">
        <f>IF(ISBLANK(A1030), "", (B1030 * XLOOKUP(C1030, 'Fees &amp; Postage Table'!A:A, 'Fees &amp; Postage Table'!C:C, 0)) + XLOOKUP(C1030, 'Fees &amp; Postage Table'!A:A, 'Fees &amp; Postage Table'!B:B, 0))</f>
        <v/>
      </c>
      <c r="G1030">
        <f>IF(ISBLANK(A1030), "", XLOOKUP(C1030, 'Fees &amp; Postage Table'!A:A, 'Fees &amp; Postage Table'!D:D, 0))</f>
        <v/>
      </c>
      <c r="H1030">
        <f>IF(ISBLANK(A1030), "", B1030 - E1030 - F1030 - G1030)</f>
        <v/>
      </c>
      <c r="I1030">
        <f>IF(ISBLANK(A1030), "", D1030 - XLOOKUP(A1030, Inventory!A:A, Inventory!H:H, TODAY()))</f>
        <v/>
      </c>
    </row>
    <row r="1031">
      <c r="E1031">
        <f>IF(ISBLANK(A1031), "", XLOOKUP(A1031, Inventory!A:A, Inventory!E:E, 0))</f>
        <v/>
      </c>
      <c r="F1031">
        <f>IF(ISBLANK(A1031), "", (B1031 * XLOOKUP(C1031, 'Fees &amp; Postage Table'!A:A, 'Fees &amp; Postage Table'!C:C, 0)) + XLOOKUP(C1031, 'Fees &amp; Postage Table'!A:A, 'Fees &amp; Postage Table'!B:B, 0))</f>
        <v/>
      </c>
      <c r="G1031">
        <f>IF(ISBLANK(A1031), "", XLOOKUP(C1031, 'Fees &amp; Postage Table'!A:A, 'Fees &amp; Postage Table'!D:D, 0))</f>
        <v/>
      </c>
      <c r="H1031">
        <f>IF(ISBLANK(A1031), "", B1031 - E1031 - F1031 - G1031)</f>
        <v/>
      </c>
      <c r="I1031">
        <f>IF(ISBLANK(A1031), "", D1031 - XLOOKUP(A1031, Inventory!A:A, Inventory!H:H, TODAY()))</f>
        <v/>
      </c>
    </row>
    <row r="1032">
      <c r="E1032">
        <f>IF(ISBLANK(A1032), "", XLOOKUP(A1032, Inventory!A:A, Inventory!E:E, 0))</f>
        <v/>
      </c>
      <c r="F1032">
        <f>IF(ISBLANK(A1032), "", (B1032 * XLOOKUP(C1032, 'Fees &amp; Postage Table'!A:A, 'Fees &amp; Postage Table'!C:C, 0)) + XLOOKUP(C1032, 'Fees &amp; Postage Table'!A:A, 'Fees &amp; Postage Table'!B:B, 0))</f>
        <v/>
      </c>
      <c r="G1032">
        <f>IF(ISBLANK(A1032), "", XLOOKUP(C1032, 'Fees &amp; Postage Table'!A:A, 'Fees &amp; Postage Table'!D:D, 0))</f>
        <v/>
      </c>
      <c r="H1032">
        <f>IF(ISBLANK(A1032), "", B1032 - E1032 - F1032 - G1032)</f>
        <v/>
      </c>
      <c r="I1032">
        <f>IF(ISBLANK(A1032), "", D1032 - XLOOKUP(A1032, Inventory!A:A, Inventory!H:H, TODAY()))</f>
        <v/>
      </c>
    </row>
    <row r="1033">
      <c r="E1033">
        <f>IF(ISBLANK(A1033), "", XLOOKUP(A1033, Inventory!A:A, Inventory!E:E, 0))</f>
        <v/>
      </c>
      <c r="F1033">
        <f>IF(ISBLANK(A1033), "", (B1033 * XLOOKUP(C1033, 'Fees &amp; Postage Table'!A:A, 'Fees &amp; Postage Table'!C:C, 0)) + XLOOKUP(C1033, 'Fees &amp; Postage Table'!A:A, 'Fees &amp; Postage Table'!B:B, 0))</f>
        <v/>
      </c>
      <c r="G1033">
        <f>IF(ISBLANK(A1033), "", XLOOKUP(C1033, 'Fees &amp; Postage Table'!A:A, 'Fees &amp; Postage Table'!D:D, 0))</f>
        <v/>
      </c>
      <c r="H1033">
        <f>IF(ISBLANK(A1033), "", B1033 - E1033 - F1033 - G1033)</f>
        <v/>
      </c>
      <c r="I1033">
        <f>IF(ISBLANK(A1033), "", D1033 - XLOOKUP(A1033, Inventory!A:A, Inventory!H:H, TODAY()))</f>
        <v/>
      </c>
    </row>
    <row r="1034">
      <c r="E1034">
        <f>IF(ISBLANK(A1034), "", XLOOKUP(A1034, Inventory!A:A, Inventory!E:E, 0))</f>
        <v/>
      </c>
      <c r="F1034">
        <f>IF(ISBLANK(A1034), "", (B1034 * XLOOKUP(C1034, 'Fees &amp; Postage Table'!A:A, 'Fees &amp; Postage Table'!C:C, 0)) + XLOOKUP(C1034, 'Fees &amp; Postage Table'!A:A, 'Fees &amp; Postage Table'!B:B, 0))</f>
        <v/>
      </c>
      <c r="G1034">
        <f>IF(ISBLANK(A1034), "", XLOOKUP(C1034, 'Fees &amp; Postage Table'!A:A, 'Fees &amp; Postage Table'!D:D, 0))</f>
        <v/>
      </c>
      <c r="H1034">
        <f>IF(ISBLANK(A1034), "", B1034 - E1034 - F1034 - G1034)</f>
        <v/>
      </c>
      <c r="I1034">
        <f>IF(ISBLANK(A1034), "", D1034 - XLOOKUP(A1034, Inventory!A:A, Inventory!H:H, TODAY()))</f>
        <v/>
      </c>
    </row>
    <row r="1035">
      <c r="E1035">
        <f>IF(ISBLANK(A1035), "", XLOOKUP(A1035, Inventory!A:A, Inventory!E:E, 0))</f>
        <v/>
      </c>
      <c r="F1035">
        <f>IF(ISBLANK(A1035), "", (B1035 * XLOOKUP(C1035, 'Fees &amp; Postage Table'!A:A, 'Fees &amp; Postage Table'!C:C, 0)) + XLOOKUP(C1035, 'Fees &amp; Postage Table'!A:A, 'Fees &amp; Postage Table'!B:B, 0))</f>
        <v/>
      </c>
      <c r="G1035">
        <f>IF(ISBLANK(A1035), "", XLOOKUP(C1035, 'Fees &amp; Postage Table'!A:A, 'Fees &amp; Postage Table'!D:D, 0))</f>
        <v/>
      </c>
      <c r="H1035">
        <f>IF(ISBLANK(A1035), "", B1035 - E1035 - F1035 - G1035)</f>
        <v/>
      </c>
      <c r="I1035">
        <f>IF(ISBLANK(A1035), "", D1035 - XLOOKUP(A1035, Inventory!A:A, Inventory!H:H, TODAY()))</f>
        <v/>
      </c>
    </row>
    <row r="1036">
      <c r="E1036">
        <f>IF(ISBLANK(A1036), "", XLOOKUP(A1036, Inventory!A:A, Inventory!E:E, 0))</f>
        <v/>
      </c>
      <c r="F1036">
        <f>IF(ISBLANK(A1036), "", (B1036 * XLOOKUP(C1036, 'Fees &amp; Postage Table'!A:A, 'Fees &amp; Postage Table'!C:C, 0)) + XLOOKUP(C1036, 'Fees &amp; Postage Table'!A:A, 'Fees &amp; Postage Table'!B:B, 0))</f>
        <v/>
      </c>
      <c r="G1036">
        <f>IF(ISBLANK(A1036), "", XLOOKUP(C1036, 'Fees &amp; Postage Table'!A:A, 'Fees &amp; Postage Table'!D:D, 0))</f>
        <v/>
      </c>
      <c r="H1036">
        <f>IF(ISBLANK(A1036), "", B1036 - E1036 - F1036 - G1036)</f>
        <v/>
      </c>
      <c r="I1036">
        <f>IF(ISBLANK(A1036), "", D1036 - XLOOKUP(A1036, Inventory!A:A, Inventory!H:H, TODAY()))</f>
        <v/>
      </c>
    </row>
    <row r="1037">
      <c r="E1037">
        <f>IF(ISBLANK(A1037), "", XLOOKUP(A1037, Inventory!A:A, Inventory!E:E, 0))</f>
        <v/>
      </c>
      <c r="F1037">
        <f>IF(ISBLANK(A1037), "", (B1037 * XLOOKUP(C1037, 'Fees &amp; Postage Table'!A:A, 'Fees &amp; Postage Table'!C:C, 0)) + XLOOKUP(C1037, 'Fees &amp; Postage Table'!A:A, 'Fees &amp; Postage Table'!B:B, 0))</f>
        <v/>
      </c>
      <c r="G1037">
        <f>IF(ISBLANK(A1037), "", XLOOKUP(C1037, 'Fees &amp; Postage Table'!A:A, 'Fees &amp; Postage Table'!D:D, 0))</f>
        <v/>
      </c>
      <c r="H1037">
        <f>IF(ISBLANK(A1037), "", B1037 - E1037 - F1037 - G1037)</f>
        <v/>
      </c>
      <c r="I1037">
        <f>IF(ISBLANK(A1037), "", D1037 - XLOOKUP(A1037, Inventory!A:A, Inventory!H:H, TODAY()))</f>
        <v/>
      </c>
    </row>
    <row r="1038">
      <c r="E1038">
        <f>IF(ISBLANK(A1038), "", XLOOKUP(A1038, Inventory!A:A, Inventory!E:E, 0))</f>
        <v/>
      </c>
      <c r="F1038">
        <f>IF(ISBLANK(A1038), "", (B1038 * XLOOKUP(C1038, 'Fees &amp; Postage Table'!A:A, 'Fees &amp; Postage Table'!C:C, 0)) + XLOOKUP(C1038, 'Fees &amp; Postage Table'!A:A, 'Fees &amp; Postage Table'!B:B, 0))</f>
        <v/>
      </c>
      <c r="G1038">
        <f>IF(ISBLANK(A1038), "", XLOOKUP(C1038, 'Fees &amp; Postage Table'!A:A, 'Fees &amp; Postage Table'!D:D, 0))</f>
        <v/>
      </c>
      <c r="H1038">
        <f>IF(ISBLANK(A1038), "", B1038 - E1038 - F1038 - G1038)</f>
        <v/>
      </c>
      <c r="I1038">
        <f>IF(ISBLANK(A1038), "", D1038 - XLOOKUP(A1038, Inventory!A:A, Inventory!H:H, TODAY()))</f>
        <v/>
      </c>
    </row>
    <row r="1039">
      <c r="E1039">
        <f>IF(ISBLANK(A1039), "", XLOOKUP(A1039, Inventory!A:A, Inventory!E:E, 0))</f>
        <v/>
      </c>
      <c r="F1039">
        <f>IF(ISBLANK(A1039), "", (B1039 * XLOOKUP(C1039, 'Fees &amp; Postage Table'!A:A, 'Fees &amp; Postage Table'!C:C, 0)) + XLOOKUP(C1039, 'Fees &amp; Postage Table'!A:A, 'Fees &amp; Postage Table'!B:B, 0))</f>
        <v/>
      </c>
      <c r="G1039">
        <f>IF(ISBLANK(A1039), "", XLOOKUP(C1039, 'Fees &amp; Postage Table'!A:A, 'Fees &amp; Postage Table'!D:D, 0))</f>
        <v/>
      </c>
      <c r="H1039">
        <f>IF(ISBLANK(A1039), "", B1039 - E1039 - F1039 - G1039)</f>
        <v/>
      </c>
      <c r="I1039">
        <f>IF(ISBLANK(A1039), "", D1039 - XLOOKUP(A1039, Inventory!A:A, Inventory!H:H, TODAY()))</f>
        <v/>
      </c>
    </row>
    <row r="1040">
      <c r="E1040">
        <f>IF(ISBLANK(A1040), "", XLOOKUP(A1040, Inventory!A:A, Inventory!E:E, 0))</f>
        <v/>
      </c>
      <c r="F1040">
        <f>IF(ISBLANK(A1040), "", (B1040 * XLOOKUP(C1040, 'Fees &amp; Postage Table'!A:A, 'Fees &amp; Postage Table'!C:C, 0)) + XLOOKUP(C1040, 'Fees &amp; Postage Table'!A:A, 'Fees &amp; Postage Table'!B:B, 0))</f>
        <v/>
      </c>
      <c r="G1040">
        <f>IF(ISBLANK(A1040), "", XLOOKUP(C1040, 'Fees &amp; Postage Table'!A:A, 'Fees &amp; Postage Table'!D:D, 0))</f>
        <v/>
      </c>
      <c r="H1040">
        <f>IF(ISBLANK(A1040), "", B1040 - E1040 - F1040 - G1040)</f>
        <v/>
      </c>
      <c r="I1040">
        <f>IF(ISBLANK(A1040), "", D1040 - XLOOKUP(A1040, Inventory!A:A, Inventory!H:H, TODAY()))</f>
        <v/>
      </c>
    </row>
    <row r="1041">
      <c r="E1041">
        <f>IF(ISBLANK(A1041), "", XLOOKUP(A1041, Inventory!A:A, Inventory!E:E, 0))</f>
        <v/>
      </c>
      <c r="F1041">
        <f>IF(ISBLANK(A1041), "", (B1041 * XLOOKUP(C1041, 'Fees &amp; Postage Table'!A:A, 'Fees &amp; Postage Table'!C:C, 0)) + XLOOKUP(C1041, 'Fees &amp; Postage Table'!A:A, 'Fees &amp; Postage Table'!B:B, 0))</f>
        <v/>
      </c>
      <c r="G1041">
        <f>IF(ISBLANK(A1041), "", XLOOKUP(C1041, 'Fees &amp; Postage Table'!A:A, 'Fees &amp; Postage Table'!D:D, 0))</f>
        <v/>
      </c>
      <c r="H1041">
        <f>IF(ISBLANK(A1041), "", B1041 - E1041 - F1041 - G1041)</f>
        <v/>
      </c>
      <c r="I1041">
        <f>IF(ISBLANK(A1041), "", D1041 - XLOOKUP(A1041, Inventory!A:A, Inventory!H:H, TODAY()))</f>
        <v/>
      </c>
    </row>
    <row r="1042">
      <c r="E1042">
        <f>IF(ISBLANK(A1042), "", XLOOKUP(A1042, Inventory!A:A, Inventory!E:E, 0))</f>
        <v/>
      </c>
      <c r="F1042">
        <f>IF(ISBLANK(A1042), "", (B1042 * XLOOKUP(C1042, 'Fees &amp; Postage Table'!A:A, 'Fees &amp; Postage Table'!C:C, 0)) + XLOOKUP(C1042, 'Fees &amp; Postage Table'!A:A, 'Fees &amp; Postage Table'!B:B, 0))</f>
        <v/>
      </c>
      <c r="G1042">
        <f>IF(ISBLANK(A1042), "", XLOOKUP(C1042, 'Fees &amp; Postage Table'!A:A, 'Fees &amp; Postage Table'!D:D, 0))</f>
        <v/>
      </c>
      <c r="H1042">
        <f>IF(ISBLANK(A1042), "", B1042 - E1042 - F1042 - G1042)</f>
        <v/>
      </c>
      <c r="I1042">
        <f>IF(ISBLANK(A1042), "", D1042 - XLOOKUP(A1042, Inventory!A:A, Inventory!H:H, TODAY()))</f>
        <v/>
      </c>
    </row>
    <row r="1043">
      <c r="E1043">
        <f>IF(ISBLANK(A1043), "", XLOOKUP(A1043, Inventory!A:A, Inventory!E:E, 0))</f>
        <v/>
      </c>
      <c r="F1043">
        <f>IF(ISBLANK(A1043), "", (B1043 * XLOOKUP(C1043, 'Fees &amp; Postage Table'!A:A, 'Fees &amp; Postage Table'!C:C, 0)) + XLOOKUP(C1043, 'Fees &amp; Postage Table'!A:A, 'Fees &amp; Postage Table'!B:B, 0))</f>
        <v/>
      </c>
      <c r="G1043">
        <f>IF(ISBLANK(A1043), "", XLOOKUP(C1043, 'Fees &amp; Postage Table'!A:A, 'Fees &amp; Postage Table'!D:D, 0))</f>
        <v/>
      </c>
      <c r="H1043">
        <f>IF(ISBLANK(A1043), "", B1043 - E1043 - F1043 - G1043)</f>
        <v/>
      </c>
      <c r="I1043">
        <f>IF(ISBLANK(A1043), "", D1043 - XLOOKUP(A1043, Inventory!A:A, Inventory!H:H, TODAY()))</f>
        <v/>
      </c>
    </row>
    <row r="1044">
      <c r="E1044">
        <f>IF(ISBLANK(A1044), "", XLOOKUP(A1044, Inventory!A:A, Inventory!E:E, 0))</f>
        <v/>
      </c>
      <c r="F1044">
        <f>IF(ISBLANK(A1044), "", (B1044 * XLOOKUP(C1044, 'Fees &amp; Postage Table'!A:A, 'Fees &amp; Postage Table'!C:C, 0)) + XLOOKUP(C1044, 'Fees &amp; Postage Table'!A:A, 'Fees &amp; Postage Table'!B:B, 0))</f>
        <v/>
      </c>
      <c r="G1044">
        <f>IF(ISBLANK(A1044), "", XLOOKUP(C1044, 'Fees &amp; Postage Table'!A:A, 'Fees &amp; Postage Table'!D:D, 0))</f>
        <v/>
      </c>
      <c r="H1044">
        <f>IF(ISBLANK(A1044), "", B1044 - E1044 - F1044 - G1044)</f>
        <v/>
      </c>
      <c r="I1044">
        <f>IF(ISBLANK(A1044), "", D1044 - XLOOKUP(A1044, Inventory!A:A, Inventory!H:H, TODAY()))</f>
        <v/>
      </c>
    </row>
    <row r="1045">
      <c r="E1045">
        <f>IF(ISBLANK(A1045), "", XLOOKUP(A1045, Inventory!A:A, Inventory!E:E, 0))</f>
        <v/>
      </c>
      <c r="F1045">
        <f>IF(ISBLANK(A1045), "", (B1045 * XLOOKUP(C1045, 'Fees &amp; Postage Table'!A:A, 'Fees &amp; Postage Table'!C:C, 0)) + XLOOKUP(C1045, 'Fees &amp; Postage Table'!A:A, 'Fees &amp; Postage Table'!B:B, 0))</f>
        <v/>
      </c>
      <c r="G1045">
        <f>IF(ISBLANK(A1045), "", XLOOKUP(C1045, 'Fees &amp; Postage Table'!A:A, 'Fees &amp; Postage Table'!D:D, 0))</f>
        <v/>
      </c>
      <c r="H1045">
        <f>IF(ISBLANK(A1045), "", B1045 - E1045 - F1045 - G1045)</f>
        <v/>
      </c>
      <c r="I1045">
        <f>IF(ISBLANK(A1045), "", D1045 - XLOOKUP(A1045, Inventory!A:A, Inventory!H:H, TODAY()))</f>
        <v/>
      </c>
    </row>
    <row r="1046">
      <c r="E1046">
        <f>IF(ISBLANK(A1046), "", XLOOKUP(A1046, Inventory!A:A, Inventory!E:E, 0))</f>
        <v/>
      </c>
      <c r="F1046">
        <f>IF(ISBLANK(A1046), "", (B1046 * XLOOKUP(C1046, 'Fees &amp; Postage Table'!A:A, 'Fees &amp; Postage Table'!C:C, 0)) + XLOOKUP(C1046, 'Fees &amp; Postage Table'!A:A, 'Fees &amp; Postage Table'!B:B, 0))</f>
        <v/>
      </c>
      <c r="G1046">
        <f>IF(ISBLANK(A1046), "", XLOOKUP(C1046, 'Fees &amp; Postage Table'!A:A, 'Fees &amp; Postage Table'!D:D, 0))</f>
        <v/>
      </c>
      <c r="H1046">
        <f>IF(ISBLANK(A1046), "", B1046 - E1046 - F1046 - G1046)</f>
        <v/>
      </c>
      <c r="I1046">
        <f>IF(ISBLANK(A1046), "", D1046 - XLOOKUP(A1046, Inventory!A:A, Inventory!H:H, TODAY()))</f>
        <v/>
      </c>
    </row>
    <row r="1047">
      <c r="E1047">
        <f>IF(ISBLANK(A1047), "", XLOOKUP(A1047, Inventory!A:A, Inventory!E:E, 0))</f>
        <v/>
      </c>
      <c r="F1047">
        <f>IF(ISBLANK(A1047), "", (B1047 * XLOOKUP(C1047, 'Fees &amp; Postage Table'!A:A, 'Fees &amp; Postage Table'!C:C, 0)) + XLOOKUP(C1047, 'Fees &amp; Postage Table'!A:A, 'Fees &amp; Postage Table'!B:B, 0))</f>
        <v/>
      </c>
      <c r="G1047">
        <f>IF(ISBLANK(A1047), "", XLOOKUP(C1047, 'Fees &amp; Postage Table'!A:A, 'Fees &amp; Postage Table'!D:D, 0))</f>
        <v/>
      </c>
      <c r="H1047">
        <f>IF(ISBLANK(A1047), "", B1047 - E1047 - F1047 - G1047)</f>
        <v/>
      </c>
      <c r="I1047">
        <f>IF(ISBLANK(A1047), "", D1047 - XLOOKUP(A1047, Inventory!A:A, Inventory!H:H, TODAY()))</f>
        <v/>
      </c>
    </row>
    <row r="1048">
      <c r="E1048">
        <f>IF(ISBLANK(A1048), "", XLOOKUP(A1048, Inventory!A:A, Inventory!E:E, 0))</f>
        <v/>
      </c>
      <c r="F1048">
        <f>IF(ISBLANK(A1048), "", (B1048 * XLOOKUP(C1048, 'Fees &amp; Postage Table'!A:A, 'Fees &amp; Postage Table'!C:C, 0)) + XLOOKUP(C1048, 'Fees &amp; Postage Table'!A:A, 'Fees &amp; Postage Table'!B:B, 0))</f>
        <v/>
      </c>
      <c r="G1048">
        <f>IF(ISBLANK(A1048), "", XLOOKUP(C1048, 'Fees &amp; Postage Table'!A:A, 'Fees &amp; Postage Table'!D:D, 0))</f>
        <v/>
      </c>
      <c r="H1048">
        <f>IF(ISBLANK(A1048), "", B1048 - E1048 - F1048 - G1048)</f>
        <v/>
      </c>
      <c r="I1048">
        <f>IF(ISBLANK(A1048), "", D1048 - XLOOKUP(A1048, Inventory!A:A, Inventory!H:H, TODAY()))</f>
        <v/>
      </c>
    </row>
    <row r="1049">
      <c r="E1049">
        <f>IF(ISBLANK(A1049), "", XLOOKUP(A1049, Inventory!A:A, Inventory!E:E, 0))</f>
        <v/>
      </c>
      <c r="F1049">
        <f>IF(ISBLANK(A1049), "", (B1049 * XLOOKUP(C1049, 'Fees &amp; Postage Table'!A:A, 'Fees &amp; Postage Table'!C:C, 0)) + XLOOKUP(C1049, 'Fees &amp; Postage Table'!A:A, 'Fees &amp; Postage Table'!B:B, 0))</f>
        <v/>
      </c>
      <c r="G1049">
        <f>IF(ISBLANK(A1049), "", XLOOKUP(C1049, 'Fees &amp; Postage Table'!A:A, 'Fees &amp; Postage Table'!D:D, 0))</f>
        <v/>
      </c>
      <c r="H1049">
        <f>IF(ISBLANK(A1049), "", B1049 - E1049 - F1049 - G1049)</f>
        <v/>
      </c>
      <c r="I1049">
        <f>IF(ISBLANK(A1049), "", D1049 - XLOOKUP(A1049, Inventory!A:A, Inventory!H:H, TODAY()))</f>
        <v/>
      </c>
    </row>
    <row r="1050">
      <c r="E1050">
        <f>IF(ISBLANK(A1050), "", XLOOKUP(A1050, Inventory!A:A, Inventory!E:E, 0))</f>
        <v/>
      </c>
      <c r="F1050">
        <f>IF(ISBLANK(A1050), "", (B1050 * XLOOKUP(C1050, 'Fees &amp; Postage Table'!A:A, 'Fees &amp; Postage Table'!C:C, 0)) + XLOOKUP(C1050, 'Fees &amp; Postage Table'!A:A, 'Fees &amp; Postage Table'!B:B, 0))</f>
        <v/>
      </c>
      <c r="G1050">
        <f>IF(ISBLANK(A1050), "", XLOOKUP(C1050, 'Fees &amp; Postage Table'!A:A, 'Fees &amp; Postage Table'!D:D, 0))</f>
        <v/>
      </c>
      <c r="H1050">
        <f>IF(ISBLANK(A1050), "", B1050 - E1050 - F1050 - G1050)</f>
        <v/>
      </c>
      <c r="I1050">
        <f>IF(ISBLANK(A1050), "", D1050 - XLOOKUP(A1050, Inventory!A:A, Inventory!H:H, TODAY()))</f>
        <v/>
      </c>
    </row>
    <row r="1051">
      <c r="E1051">
        <f>IF(ISBLANK(A1051), "", XLOOKUP(A1051, Inventory!A:A, Inventory!E:E, 0))</f>
        <v/>
      </c>
      <c r="F1051">
        <f>IF(ISBLANK(A1051), "", (B1051 * XLOOKUP(C1051, 'Fees &amp; Postage Table'!A:A, 'Fees &amp; Postage Table'!C:C, 0)) + XLOOKUP(C1051, 'Fees &amp; Postage Table'!A:A, 'Fees &amp; Postage Table'!B:B, 0))</f>
        <v/>
      </c>
      <c r="G1051">
        <f>IF(ISBLANK(A1051), "", XLOOKUP(C1051, 'Fees &amp; Postage Table'!A:A, 'Fees &amp; Postage Table'!D:D, 0))</f>
        <v/>
      </c>
      <c r="H1051">
        <f>IF(ISBLANK(A1051), "", B1051 - E1051 - F1051 - G1051)</f>
        <v/>
      </c>
      <c r="I1051">
        <f>IF(ISBLANK(A1051), "", D1051 - XLOOKUP(A1051, Inventory!A:A, Inventory!H:H, TODAY()))</f>
        <v/>
      </c>
    </row>
    <row r="1052">
      <c r="E1052">
        <f>IF(ISBLANK(A1052), "", XLOOKUP(A1052, Inventory!A:A, Inventory!E:E, 0))</f>
        <v/>
      </c>
      <c r="F1052">
        <f>IF(ISBLANK(A1052), "", (B1052 * XLOOKUP(C1052, 'Fees &amp; Postage Table'!A:A, 'Fees &amp; Postage Table'!C:C, 0)) + XLOOKUP(C1052, 'Fees &amp; Postage Table'!A:A, 'Fees &amp; Postage Table'!B:B, 0))</f>
        <v/>
      </c>
      <c r="G1052">
        <f>IF(ISBLANK(A1052), "", XLOOKUP(C1052, 'Fees &amp; Postage Table'!A:A, 'Fees &amp; Postage Table'!D:D, 0))</f>
        <v/>
      </c>
      <c r="H1052">
        <f>IF(ISBLANK(A1052), "", B1052 - E1052 - F1052 - G1052)</f>
        <v/>
      </c>
      <c r="I1052">
        <f>IF(ISBLANK(A1052), "", D1052 - XLOOKUP(A1052, Inventory!A:A, Inventory!H:H, TODAY()))</f>
        <v/>
      </c>
    </row>
    <row r="1053">
      <c r="E1053">
        <f>IF(ISBLANK(A1053), "", XLOOKUP(A1053, Inventory!A:A, Inventory!E:E, 0))</f>
        <v/>
      </c>
      <c r="F1053">
        <f>IF(ISBLANK(A1053), "", (B1053 * XLOOKUP(C1053, 'Fees &amp; Postage Table'!A:A, 'Fees &amp; Postage Table'!C:C, 0)) + XLOOKUP(C1053, 'Fees &amp; Postage Table'!A:A, 'Fees &amp; Postage Table'!B:B, 0))</f>
        <v/>
      </c>
      <c r="G1053">
        <f>IF(ISBLANK(A1053), "", XLOOKUP(C1053, 'Fees &amp; Postage Table'!A:A, 'Fees &amp; Postage Table'!D:D, 0))</f>
        <v/>
      </c>
      <c r="H1053">
        <f>IF(ISBLANK(A1053), "", B1053 - E1053 - F1053 - G1053)</f>
        <v/>
      </c>
      <c r="I1053">
        <f>IF(ISBLANK(A1053), "", D1053 - XLOOKUP(A1053, Inventory!A:A, Inventory!H:H, TODAY()))</f>
        <v/>
      </c>
    </row>
    <row r="1054">
      <c r="E1054">
        <f>IF(ISBLANK(A1054), "", XLOOKUP(A1054, Inventory!A:A, Inventory!E:E, 0))</f>
        <v/>
      </c>
      <c r="F1054">
        <f>IF(ISBLANK(A1054), "", (B1054 * XLOOKUP(C1054, 'Fees &amp; Postage Table'!A:A, 'Fees &amp; Postage Table'!C:C, 0)) + XLOOKUP(C1054, 'Fees &amp; Postage Table'!A:A, 'Fees &amp; Postage Table'!B:B, 0))</f>
        <v/>
      </c>
      <c r="G1054">
        <f>IF(ISBLANK(A1054), "", XLOOKUP(C1054, 'Fees &amp; Postage Table'!A:A, 'Fees &amp; Postage Table'!D:D, 0))</f>
        <v/>
      </c>
      <c r="H1054">
        <f>IF(ISBLANK(A1054), "", B1054 - E1054 - F1054 - G1054)</f>
        <v/>
      </c>
      <c r="I1054">
        <f>IF(ISBLANK(A1054), "", D1054 - XLOOKUP(A1054, Inventory!A:A, Inventory!H:H, TODAY()))</f>
        <v/>
      </c>
    </row>
    <row r="1055">
      <c r="E1055">
        <f>IF(ISBLANK(A1055), "", XLOOKUP(A1055, Inventory!A:A, Inventory!E:E, 0))</f>
        <v/>
      </c>
      <c r="F1055">
        <f>IF(ISBLANK(A1055), "", (B1055 * XLOOKUP(C1055, 'Fees &amp; Postage Table'!A:A, 'Fees &amp; Postage Table'!C:C, 0)) + XLOOKUP(C1055, 'Fees &amp; Postage Table'!A:A, 'Fees &amp; Postage Table'!B:B, 0))</f>
        <v/>
      </c>
      <c r="G1055">
        <f>IF(ISBLANK(A1055), "", XLOOKUP(C1055, 'Fees &amp; Postage Table'!A:A, 'Fees &amp; Postage Table'!D:D, 0))</f>
        <v/>
      </c>
      <c r="H1055">
        <f>IF(ISBLANK(A1055), "", B1055 - E1055 - F1055 - G1055)</f>
        <v/>
      </c>
      <c r="I1055">
        <f>IF(ISBLANK(A1055), "", D1055 - XLOOKUP(A1055, Inventory!A:A, Inventory!H:H, TODAY()))</f>
        <v/>
      </c>
    </row>
    <row r="1056">
      <c r="E1056">
        <f>IF(ISBLANK(A1056), "", XLOOKUP(A1056, Inventory!A:A, Inventory!E:E, 0))</f>
        <v/>
      </c>
      <c r="F1056">
        <f>IF(ISBLANK(A1056), "", (B1056 * XLOOKUP(C1056, 'Fees &amp; Postage Table'!A:A, 'Fees &amp; Postage Table'!C:C, 0)) + XLOOKUP(C1056, 'Fees &amp; Postage Table'!A:A, 'Fees &amp; Postage Table'!B:B, 0))</f>
        <v/>
      </c>
      <c r="G1056">
        <f>IF(ISBLANK(A1056), "", XLOOKUP(C1056, 'Fees &amp; Postage Table'!A:A, 'Fees &amp; Postage Table'!D:D, 0))</f>
        <v/>
      </c>
      <c r="H1056">
        <f>IF(ISBLANK(A1056), "", B1056 - E1056 - F1056 - G1056)</f>
        <v/>
      </c>
      <c r="I1056">
        <f>IF(ISBLANK(A1056), "", D1056 - XLOOKUP(A1056, Inventory!A:A, Inventory!H:H, TODAY()))</f>
        <v/>
      </c>
    </row>
    <row r="1057">
      <c r="E1057">
        <f>IF(ISBLANK(A1057), "", XLOOKUP(A1057, Inventory!A:A, Inventory!E:E, 0))</f>
        <v/>
      </c>
      <c r="F1057">
        <f>IF(ISBLANK(A1057), "", (B1057 * XLOOKUP(C1057, 'Fees &amp; Postage Table'!A:A, 'Fees &amp; Postage Table'!C:C, 0)) + XLOOKUP(C1057, 'Fees &amp; Postage Table'!A:A, 'Fees &amp; Postage Table'!B:B, 0))</f>
        <v/>
      </c>
      <c r="G1057">
        <f>IF(ISBLANK(A1057), "", XLOOKUP(C1057, 'Fees &amp; Postage Table'!A:A, 'Fees &amp; Postage Table'!D:D, 0))</f>
        <v/>
      </c>
      <c r="H1057">
        <f>IF(ISBLANK(A1057), "", B1057 - E1057 - F1057 - G1057)</f>
        <v/>
      </c>
      <c r="I1057">
        <f>IF(ISBLANK(A1057), "", D1057 - XLOOKUP(A1057, Inventory!A:A, Inventory!H:H, TODAY()))</f>
        <v/>
      </c>
    </row>
    <row r="1058">
      <c r="E1058">
        <f>IF(ISBLANK(A1058), "", XLOOKUP(A1058, Inventory!A:A, Inventory!E:E, 0))</f>
        <v/>
      </c>
      <c r="F1058">
        <f>IF(ISBLANK(A1058), "", (B1058 * XLOOKUP(C1058, 'Fees &amp; Postage Table'!A:A, 'Fees &amp; Postage Table'!C:C, 0)) + XLOOKUP(C1058, 'Fees &amp; Postage Table'!A:A, 'Fees &amp; Postage Table'!B:B, 0))</f>
        <v/>
      </c>
      <c r="G1058">
        <f>IF(ISBLANK(A1058), "", XLOOKUP(C1058, 'Fees &amp; Postage Table'!A:A, 'Fees &amp; Postage Table'!D:D, 0))</f>
        <v/>
      </c>
      <c r="H1058">
        <f>IF(ISBLANK(A1058), "", B1058 - E1058 - F1058 - G1058)</f>
        <v/>
      </c>
      <c r="I1058">
        <f>IF(ISBLANK(A1058), "", D1058 - XLOOKUP(A1058, Inventory!A:A, Inventory!H:H, TODAY()))</f>
        <v/>
      </c>
    </row>
    <row r="1059">
      <c r="E1059">
        <f>IF(ISBLANK(A1059), "", XLOOKUP(A1059, Inventory!A:A, Inventory!E:E, 0))</f>
        <v/>
      </c>
      <c r="F1059">
        <f>IF(ISBLANK(A1059), "", (B1059 * XLOOKUP(C1059, 'Fees &amp; Postage Table'!A:A, 'Fees &amp; Postage Table'!C:C, 0)) + XLOOKUP(C1059, 'Fees &amp; Postage Table'!A:A, 'Fees &amp; Postage Table'!B:B, 0))</f>
        <v/>
      </c>
      <c r="G1059">
        <f>IF(ISBLANK(A1059), "", XLOOKUP(C1059, 'Fees &amp; Postage Table'!A:A, 'Fees &amp; Postage Table'!D:D, 0))</f>
        <v/>
      </c>
      <c r="H1059">
        <f>IF(ISBLANK(A1059), "", B1059 - E1059 - F1059 - G1059)</f>
        <v/>
      </c>
      <c r="I1059">
        <f>IF(ISBLANK(A1059), "", D1059 - XLOOKUP(A1059, Inventory!A:A, Inventory!H:H, TODAY()))</f>
        <v/>
      </c>
    </row>
    <row r="1060">
      <c r="E1060">
        <f>IF(ISBLANK(A1060), "", XLOOKUP(A1060, Inventory!A:A, Inventory!E:E, 0))</f>
        <v/>
      </c>
      <c r="F1060">
        <f>IF(ISBLANK(A1060), "", (B1060 * XLOOKUP(C1060, 'Fees &amp; Postage Table'!A:A, 'Fees &amp; Postage Table'!C:C, 0)) + XLOOKUP(C1060, 'Fees &amp; Postage Table'!A:A, 'Fees &amp; Postage Table'!B:B, 0))</f>
        <v/>
      </c>
      <c r="G1060">
        <f>IF(ISBLANK(A1060), "", XLOOKUP(C1060, 'Fees &amp; Postage Table'!A:A, 'Fees &amp; Postage Table'!D:D, 0))</f>
        <v/>
      </c>
      <c r="H1060">
        <f>IF(ISBLANK(A1060), "", B1060 - E1060 - F1060 - G1060)</f>
        <v/>
      </c>
      <c r="I1060">
        <f>IF(ISBLANK(A1060), "", D1060 - XLOOKUP(A1060, Inventory!A:A, Inventory!H:H, TODAY()))</f>
        <v/>
      </c>
    </row>
    <row r="1061">
      <c r="E1061">
        <f>IF(ISBLANK(A1061), "", XLOOKUP(A1061, Inventory!A:A, Inventory!E:E, 0))</f>
        <v/>
      </c>
      <c r="F1061">
        <f>IF(ISBLANK(A1061), "", (B1061 * XLOOKUP(C1061, 'Fees &amp; Postage Table'!A:A, 'Fees &amp; Postage Table'!C:C, 0)) + XLOOKUP(C1061, 'Fees &amp; Postage Table'!A:A, 'Fees &amp; Postage Table'!B:B, 0))</f>
        <v/>
      </c>
      <c r="G1061">
        <f>IF(ISBLANK(A1061), "", XLOOKUP(C1061, 'Fees &amp; Postage Table'!A:A, 'Fees &amp; Postage Table'!D:D, 0))</f>
        <v/>
      </c>
      <c r="H1061">
        <f>IF(ISBLANK(A1061), "", B1061 - E1061 - F1061 - G1061)</f>
        <v/>
      </c>
      <c r="I1061">
        <f>IF(ISBLANK(A1061), "", D1061 - XLOOKUP(A1061, Inventory!A:A, Inventory!H:H, TODAY()))</f>
        <v/>
      </c>
    </row>
    <row r="1062">
      <c r="E1062">
        <f>IF(ISBLANK(A1062), "", XLOOKUP(A1062, Inventory!A:A, Inventory!E:E, 0))</f>
        <v/>
      </c>
      <c r="F1062">
        <f>IF(ISBLANK(A1062), "", (B1062 * XLOOKUP(C1062, 'Fees &amp; Postage Table'!A:A, 'Fees &amp; Postage Table'!C:C, 0)) + XLOOKUP(C1062, 'Fees &amp; Postage Table'!A:A, 'Fees &amp; Postage Table'!B:B, 0))</f>
        <v/>
      </c>
      <c r="G1062">
        <f>IF(ISBLANK(A1062), "", XLOOKUP(C1062, 'Fees &amp; Postage Table'!A:A, 'Fees &amp; Postage Table'!D:D, 0))</f>
        <v/>
      </c>
      <c r="H1062">
        <f>IF(ISBLANK(A1062), "", B1062 - E1062 - F1062 - G1062)</f>
        <v/>
      </c>
      <c r="I1062">
        <f>IF(ISBLANK(A1062), "", D1062 - XLOOKUP(A1062, Inventory!A:A, Inventory!H:H, TODAY()))</f>
        <v/>
      </c>
    </row>
    <row r="1063">
      <c r="E1063">
        <f>IF(ISBLANK(A1063), "", XLOOKUP(A1063, Inventory!A:A, Inventory!E:E, 0))</f>
        <v/>
      </c>
      <c r="F1063">
        <f>IF(ISBLANK(A1063), "", (B1063 * XLOOKUP(C1063, 'Fees &amp; Postage Table'!A:A, 'Fees &amp; Postage Table'!C:C, 0)) + XLOOKUP(C1063, 'Fees &amp; Postage Table'!A:A, 'Fees &amp; Postage Table'!B:B, 0))</f>
        <v/>
      </c>
      <c r="G1063">
        <f>IF(ISBLANK(A1063), "", XLOOKUP(C1063, 'Fees &amp; Postage Table'!A:A, 'Fees &amp; Postage Table'!D:D, 0))</f>
        <v/>
      </c>
      <c r="H1063">
        <f>IF(ISBLANK(A1063), "", B1063 - E1063 - F1063 - G1063)</f>
        <v/>
      </c>
      <c r="I1063">
        <f>IF(ISBLANK(A1063), "", D1063 - XLOOKUP(A1063, Inventory!A:A, Inventory!H:H, TODAY()))</f>
        <v/>
      </c>
    </row>
    <row r="1064">
      <c r="E1064">
        <f>IF(ISBLANK(A1064), "", XLOOKUP(A1064, Inventory!A:A, Inventory!E:E, 0))</f>
        <v/>
      </c>
      <c r="F1064">
        <f>IF(ISBLANK(A1064), "", (B1064 * XLOOKUP(C1064, 'Fees &amp; Postage Table'!A:A, 'Fees &amp; Postage Table'!C:C, 0)) + XLOOKUP(C1064, 'Fees &amp; Postage Table'!A:A, 'Fees &amp; Postage Table'!B:B, 0))</f>
        <v/>
      </c>
      <c r="G1064">
        <f>IF(ISBLANK(A1064), "", XLOOKUP(C1064, 'Fees &amp; Postage Table'!A:A, 'Fees &amp; Postage Table'!D:D, 0))</f>
        <v/>
      </c>
      <c r="H1064">
        <f>IF(ISBLANK(A1064), "", B1064 - E1064 - F1064 - G1064)</f>
        <v/>
      </c>
      <c r="I1064">
        <f>IF(ISBLANK(A1064), "", D1064 - XLOOKUP(A1064, Inventory!A:A, Inventory!H:H, TODAY()))</f>
        <v/>
      </c>
    </row>
    <row r="1065">
      <c r="E1065">
        <f>IF(ISBLANK(A1065), "", XLOOKUP(A1065, Inventory!A:A, Inventory!E:E, 0))</f>
        <v/>
      </c>
      <c r="F1065">
        <f>IF(ISBLANK(A1065), "", (B1065 * XLOOKUP(C1065, 'Fees &amp; Postage Table'!A:A, 'Fees &amp; Postage Table'!C:C, 0)) + XLOOKUP(C1065, 'Fees &amp; Postage Table'!A:A, 'Fees &amp; Postage Table'!B:B, 0))</f>
        <v/>
      </c>
      <c r="G1065">
        <f>IF(ISBLANK(A1065), "", XLOOKUP(C1065, 'Fees &amp; Postage Table'!A:A, 'Fees &amp; Postage Table'!D:D, 0))</f>
        <v/>
      </c>
      <c r="H1065">
        <f>IF(ISBLANK(A1065), "", B1065 - E1065 - F1065 - G1065)</f>
        <v/>
      </c>
      <c r="I1065">
        <f>IF(ISBLANK(A1065), "", D1065 - XLOOKUP(A1065, Inventory!A:A, Inventory!H:H, TODAY()))</f>
        <v/>
      </c>
    </row>
    <row r="1066">
      <c r="E1066">
        <f>IF(ISBLANK(A1066), "", XLOOKUP(A1066, Inventory!A:A, Inventory!E:E, 0))</f>
        <v/>
      </c>
      <c r="F1066">
        <f>IF(ISBLANK(A1066), "", (B1066 * XLOOKUP(C1066, 'Fees &amp; Postage Table'!A:A, 'Fees &amp; Postage Table'!C:C, 0)) + XLOOKUP(C1066, 'Fees &amp; Postage Table'!A:A, 'Fees &amp; Postage Table'!B:B, 0))</f>
        <v/>
      </c>
      <c r="G1066">
        <f>IF(ISBLANK(A1066), "", XLOOKUP(C1066, 'Fees &amp; Postage Table'!A:A, 'Fees &amp; Postage Table'!D:D, 0))</f>
        <v/>
      </c>
      <c r="H1066">
        <f>IF(ISBLANK(A1066), "", B1066 - E1066 - F1066 - G1066)</f>
        <v/>
      </c>
      <c r="I1066">
        <f>IF(ISBLANK(A1066), "", D1066 - XLOOKUP(A1066, Inventory!A:A, Inventory!H:H, TODAY()))</f>
        <v/>
      </c>
    </row>
    <row r="1067">
      <c r="E1067">
        <f>IF(ISBLANK(A1067), "", XLOOKUP(A1067, Inventory!A:A, Inventory!E:E, 0))</f>
        <v/>
      </c>
      <c r="F1067">
        <f>IF(ISBLANK(A1067), "", (B1067 * XLOOKUP(C1067, 'Fees &amp; Postage Table'!A:A, 'Fees &amp; Postage Table'!C:C, 0)) + XLOOKUP(C1067, 'Fees &amp; Postage Table'!A:A, 'Fees &amp; Postage Table'!B:B, 0))</f>
        <v/>
      </c>
      <c r="G1067">
        <f>IF(ISBLANK(A1067), "", XLOOKUP(C1067, 'Fees &amp; Postage Table'!A:A, 'Fees &amp; Postage Table'!D:D, 0))</f>
        <v/>
      </c>
      <c r="H1067">
        <f>IF(ISBLANK(A1067), "", B1067 - E1067 - F1067 - G1067)</f>
        <v/>
      </c>
      <c r="I1067">
        <f>IF(ISBLANK(A1067), "", D1067 - XLOOKUP(A1067, Inventory!A:A, Inventory!H:H, TODAY()))</f>
        <v/>
      </c>
    </row>
    <row r="1068">
      <c r="E1068">
        <f>IF(ISBLANK(A1068), "", XLOOKUP(A1068, Inventory!A:A, Inventory!E:E, 0))</f>
        <v/>
      </c>
      <c r="F1068">
        <f>IF(ISBLANK(A1068), "", (B1068 * XLOOKUP(C1068, 'Fees &amp; Postage Table'!A:A, 'Fees &amp; Postage Table'!C:C, 0)) + XLOOKUP(C1068, 'Fees &amp; Postage Table'!A:A, 'Fees &amp; Postage Table'!B:B, 0))</f>
        <v/>
      </c>
      <c r="G1068">
        <f>IF(ISBLANK(A1068), "", XLOOKUP(C1068, 'Fees &amp; Postage Table'!A:A, 'Fees &amp; Postage Table'!D:D, 0))</f>
        <v/>
      </c>
      <c r="H1068">
        <f>IF(ISBLANK(A1068), "", B1068 - E1068 - F1068 - G1068)</f>
        <v/>
      </c>
      <c r="I1068">
        <f>IF(ISBLANK(A1068), "", D1068 - XLOOKUP(A1068, Inventory!A:A, Inventory!H:H, TODAY()))</f>
        <v/>
      </c>
    </row>
    <row r="1069">
      <c r="E1069">
        <f>IF(ISBLANK(A1069), "", XLOOKUP(A1069, Inventory!A:A, Inventory!E:E, 0))</f>
        <v/>
      </c>
      <c r="F1069">
        <f>IF(ISBLANK(A1069), "", (B1069 * XLOOKUP(C1069, 'Fees &amp; Postage Table'!A:A, 'Fees &amp; Postage Table'!C:C, 0)) + XLOOKUP(C1069, 'Fees &amp; Postage Table'!A:A, 'Fees &amp; Postage Table'!B:B, 0))</f>
        <v/>
      </c>
      <c r="G1069">
        <f>IF(ISBLANK(A1069), "", XLOOKUP(C1069, 'Fees &amp; Postage Table'!A:A, 'Fees &amp; Postage Table'!D:D, 0))</f>
        <v/>
      </c>
      <c r="H1069">
        <f>IF(ISBLANK(A1069), "", B1069 - E1069 - F1069 - G1069)</f>
        <v/>
      </c>
      <c r="I1069">
        <f>IF(ISBLANK(A1069), "", D1069 - XLOOKUP(A1069, Inventory!A:A, Inventory!H:H, TODAY()))</f>
        <v/>
      </c>
    </row>
    <row r="1070">
      <c r="E1070">
        <f>IF(ISBLANK(A1070), "", XLOOKUP(A1070, Inventory!A:A, Inventory!E:E, 0))</f>
        <v/>
      </c>
      <c r="F1070">
        <f>IF(ISBLANK(A1070), "", (B1070 * XLOOKUP(C1070, 'Fees &amp; Postage Table'!A:A, 'Fees &amp; Postage Table'!C:C, 0)) + XLOOKUP(C1070, 'Fees &amp; Postage Table'!A:A, 'Fees &amp; Postage Table'!B:B, 0))</f>
        <v/>
      </c>
      <c r="G1070">
        <f>IF(ISBLANK(A1070), "", XLOOKUP(C1070, 'Fees &amp; Postage Table'!A:A, 'Fees &amp; Postage Table'!D:D, 0))</f>
        <v/>
      </c>
      <c r="H1070">
        <f>IF(ISBLANK(A1070), "", B1070 - E1070 - F1070 - G1070)</f>
        <v/>
      </c>
      <c r="I1070">
        <f>IF(ISBLANK(A1070), "", D1070 - XLOOKUP(A1070, Inventory!A:A, Inventory!H:H, TODAY()))</f>
        <v/>
      </c>
    </row>
    <row r="1071">
      <c r="E1071">
        <f>IF(ISBLANK(A1071), "", XLOOKUP(A1071, Inventory!A:A, Inventory!E:E, 0))</f>
        <v/>
      </c>
      <c r="F1071">
        <f>IF(ISBLANK(A1071), "", (B1071 * XLOOKUP(C1071, 'Fees &amp; Postage Table'!A:A, 'Fees &amp; Postage Table'!C:C, 0)) + XLOOKUP(C1071, 'Fees &amp; Postage Table'!A:A, 'Fees &amp; Postage Table'!B:B, 0))</f>
        <v/>
      </c>
      <c r="G1071">
        <f>IF(ISBLANK(A1071), "", XLOOKUP(C1071, 'Fees &amp; Postage Table'!A:A, 'Fees &amp; Postage Table'!D:D, 0))</f>
        <v/>
      </c>
      <c r="H1071">
        <f>IF(ISBLANK(A1071), "", B1071 - E1071 - F1071 - G1071)</f>
        <v/>
      </c>
      <c r="I1071">
        <f>IF(ISBLANK(A1071), "", D1071 - XLOOKUP(A1071, Inventory!A:A, Inventory!H:H, TODAY()))</f>
        <v/>
      </c>
    </row>
    <row r="1072">
      <c r="E1072">
        <f>IF(ISBLANK(A1072), "", XLOOKUP(A1072, Inventory!A:A, Inventory!E:E, 0))</f>
        <v/>
      </c>
      <c r="F1072">
        <f>IF(ISBLANK(A1072), "", (B1072 * XLOOKUP(C1072, 'Fees &amp; Postage Table'!A:A, 'Fees &amp; Postage Table'!C:C, 0)) + XLOOKUP(C1072, 'Fees &amp; Postage Table'!A:A, 'Fees &amp; Postage Table'!B:B, 0))</f>
        <v/>
      </c>
      <c r="G1072">
        <f>IF(ISBLANK(A1072), "", XLOOKUP(C1072, 'Fees &amp; Postage Table'!A:A, 'Fees &amp; Postage Table'!D:D, 0))</f>
        <v/>
      </c>
      <c r="H1072">
        <f>IF(ISBLANK(A1072), "", B1072 - E1072 - F1072 - G1072)</f>
        <v/>
      </c>
      <c r="I1072">
        <f>IF(ISBLANK(A1072), "", D1072 - XLOOKUP(A1072, Inventory!A:A, Inventory!H:H, TODAY()))</f>
        <v/>
      </c>
    </row>
    <row r="1073">
      <c r="E1073">
        <f>IF(ISBLANK(A1073), "", XLOOKUP(A1073, Inventory!A:A, Inventory!E:E, 0))</f>
        <v/>
      </c>
      <c r="F1073">
        <f>IF(ISBLANK(A1073), "", (B1073 * XLOOKUP(C1073, 'Fees &amp; Postage Table'!A:A, 'Fees &amp; Postage Table'!C:C, 0)) + XLOOKUP(C1073, 'Fees &amp; Postage Table'!A:A, 'Fees &amp; Postage Table'!B:B, 0))</f>
        <v/>
      </c>
      <c r="G1073">
        <f>IF(ISBLANK(A1073), "", XLOOKUP(C1073, 'Fees &amp; Postage Table'!A:A, 'Fees &amp; Postage Table'!D:D, 0))</f>
        <v/>
      </c>
      <c r="H1073">
        <f>IF(ISBLANK(A1073), "", B1073 - E1073 - F1073 - G1073)</f>
        <v/>
      </c>
      <c r="I1073">
        <f>IF(ISBLANK(A1073), "", D1073 - XLOOKUP(A1073, Inventory!A:A, Inventory!H:H, TODAY()))</f>
        <v/>
      </c>
    </row>
    <row r="1074">
      <c r="E1074">
        <f>IF(ISBLANK(A1074), "", XLOOKUP(A1074, Inventory!A:A, Inventory!E:E, 0))</f>
        <v/>
      </c>
      <c r="F1074">
        <f>IF(ISBLANK(A1074), "", (B1074 * XLOOKUP(C1074, 'Fees &amp; Postage Table'!A:A, 'Fees &amp; Postage Table'!C:C, 0)) + XLOOKUP(C1074, 'Fees &amp; Postage Table'!A:A, 'Fees &amp; Postage Table'!B:B, 0))</f>
        <v/>
      </c>
      <c r="G1074">
        <f>IF(ISBLANK(A1074), "", XLOOKUP(C1074, 'Fees &amp; Postage Table'!A:A, 'Fees &amp; Postage Table'!D:D, 0))</f>
        <v/>
      </c>
      <c r="H1074">
        <f>IF(ISBLANK(A1074), "", B1074 - E1074 - F1074 - G1074)</f>
        <v/>
      </c>
      <c r="I1074">
        <f>IF(ISBLANK(A1074), "", D1074 - XLOOKUP(A1074, Inventory!A:A, Inventory!H:H, TODAY()))</f>
        <v/>
      </c>
    </row>
    <row r="1075">
      <c r="E1075">
        <f>IF(ISBLANK(A1075), "", XLOOKUP(A1075, Inventory!A:A, Inventory!E:E, 0))</f>
        <v/>
      </c>
      <c r="F1075">
        <f>IF(ISBLANK(A1075), "", (B1075 * XLOOKUP(C1075, 'Fees &amp; Postage Table'!A:A, 'Fees &amp; Postage Table'!C:C, 0)) + XLOOKUP(C1075, 'Fees &amp; Postage Table'!A:A, 'Fees &amp; Postage Table'!B:B, 0))</f>
        <v/>
      </c>
      <c r="G1075">
        <f>IF(ISBLANK(A1075), "", XLOOKUP(C1075, 'Fees &amp; Postage Table'!A:A, 'Fees &amp; Postage Table'!D:D, 0))</f>
        <v/>
      </c>
      <c r="H1075">
        <f>IF(ISBLANK(A1075), "", B1075 - E1075 - F1075 - G1075)</f>
        <v/>
      </c>
      <c r="I1075">
        <f>IF(ISBLANK(A1075), "", D1075 - XLOOKUP(A1075, Inventory!A:A, Inventory!H:H, TODAY()))</f>
        <v/>
      </c>
    </row>
    <row r="1076">
      <c r="E1076">
        <f>IF(ISBLANK(A1076), "", XLOOKUP(A1076, Inventory!A:A, Inventory!E:E, 0))</f>
        <v/>
      </c>
      <c r="F1076">
        <f>IF(ISBLANK(A1076), "", (B1076 * XLOOKUP(C1076, 'Fees &amp; Postage Table'!A:A, 'Fees &amp; Postage Table'!C:C, 0)) + XLOOKUP(C1076, 'Fees &amp; Postage Table'!A:A, 'Fees &amp; Postage Table'!B:B, 0))</f>
        <v/>
      </c>
      <c r="G1076">
        <f>IF(ISBLANK(A1076), "", XLOOKUP(C1076, 'Fees &amp; Postage Table'!A:A, 'Fees &amp; Postage Table'!D:D, 0))</f>
        <v/>
      </c>
      <c r="H1076">
        <f>IF(ISBLANK(A1076), "", B1076 - E1076 - F1076 - G1076)</f>
        <v/>
      </c>
      <c r="I1076">
        <f>IF(ISBLANK(A1076), "", D1076 - XLOOKUP(A1076, Inventory!A:A, Inventory!H:H, TODAY()))</f>
        <v/>
      </c>
    </row>
    <row r="1077">
      <c r="E1077">
        <f>IF(ISBLANK(A1077), "", XLOOKUP(A1077, Inventory!A:A, Inventory!E:E, 0))</f>
        <v/>
      </c>
      <c r="F1077">
        <f>IF(ISBLANK(A1077), "", (B1077 * XLOOKUP(C1077, 'Fees &amp; Postage Table'!A:A, 'Fees &amp; Postage Table'!C:C, 0)) + XLOOKUP(C1077, 'Fees &amp; Postage Table'!A:A, 'Fees &amp; Postage Table'!B:B, 0))</f>
        <v/>
      </c>
      <c r="G1077">
        <f>IF(ISBLANK(A1077), "", XLOOKUP(C1077, 'Fees &amp; Postage Table'!A:A, 'Fees &amp; Postage Table'!D:D, 0))</f>
        <v/>
      </c>
      <c r="H1077">
        <f>IF(ISBLANK(A1077), "", B1077 - E1077 - F1077 - G1077)</f>
        <v/>
      </c>
      <c r="I1077">
        <f>IF(ISBLANK(A1077), "", D1077 - XLOOKUP(A1077, Inventory!A:A, Inventory!H:H, TODAY()))</f>
        <v/>
      </c>
    </row>
    <row r="1078">
      <c r="E1078">
        <f>IF(ISBLANK(A1078), "", XLOOKUP(A1078, Inventory!A:A, Inventory!E:E, 0))</f>
        <v/>
      </c>
      <c r="F1078">
        <f>IF(ISBLANK(A1078), "", (B1078 * XLOOKUP(C1078, 'Fees &amp; Postage Table'!A:A, 'Fees &amp; Postage Table'!C:C, 0)) + XLOOKUP(C1078, 'Fees &amp; Postage Table'!A:A, 'Fees &amp; Postage Table'!B:B, 0))</f>
        <v/>
      </c>
      <c r="G1078">
        <f>IF(ISBLANK(A1078), "", XLOOKUP(C1078, 'Fees &amp; Postage Table'!A:A, 'Fees &amp; Postage Table'!D:D, 0))</f>
        <v/>
      </c>
      <c r="H1078">
        <f>IF(ISBLANK(A1078), "", B1078 - E1078 - F1078 - G1078)</f>
        <v/>
      </c>
      <c r="I1078">
        <f>IF(ISBLANK(A1078), "", D1078 - XLOOKUP(A1078, Inventory!A:A, Inventory!H:H, TODAY()))</f>
        <v/>
      </c>
    </row>
    <row r="1079">
      <c r="E1079">
        <f>IF(ISBLANK(A1079), "", XLOOKUP(A1079, Inventory!A:A, Inventory!E:E, 0))</f>
        <v/>
      </c>
      <c r="F1079">
        <f>IF(ISBLANK(A1079), "", (B1079 * XLOOKUP(C1079, 'Fees &amp; Postage Table'!A:A, 'Fees &amp; Postage Table'!C:C, 0)) + XLOOKUP(C1079, 'Fees &amp; Postage Table'!A:A, 'Fees &amp; Postage Table'!B:B, 0))</f>
        <v/>
      </c>
      <c r="G1079">
        <f>IF(ISBLANK(A1079), "", XLOOKUP(C1079, 'Fees &amp; Postage Table'!A:A, 'Fees &amp; Postage Table'!D:D, 0))</f>
        <v/>
      </c>
      <c r="H1079">
        <f>IF(ISBLANK(A1079), "", B1079 - E1079 - F1079 - G1079)</f>
        <v/>
      </c>
      <c r="I1079">
        <f>IF(ISBLANK(A1079), "", D1079 - XLOOKUP(A1079, Inventory!A:A, Inventory!H:H, TODAY()))</f>
        <v/>
      </c>
    </row>
    <row r="1080">
      <c r="E1080">
        <f>IF(ISBLANK(A1080), "", XLOOKUP(A1080, Inventory!A:A, Inventory!E:E, 0))</f>
        <v/>
      </c>
      <c r="F1080">
        <f>IF(ISBLANK(A1080), "", (B1080 * XLOOKUP(C1080, 'Fees &amp; Postage Table'!A:A, 'Fees &amp; Postage Table'!C:C, 0)) + XLOOKUP(C1080, 'Fees &amp; Postage Table'!A:A, 'Fees &amp; Postage Table'!B:B, 0))</f>
        <v/>
      </c>
      <c r="G1080">
        <f>IF(ISBLANK(A1080), "", XLOOKUP(C1080, 'Fees &amp; Postage Table'!A:A, 'Fees &amp; Postage Table'!D:D, 0))</f>
        <v/>
      </c>
      <c r="H1080">
        <f>IF(ISBLANK(A1080), "", B1080 - E1080 - F1080 - G1080)</f>
        <v/>
      </c>
      <c r="I1080">
        <f>IF(ISBLANK(A1080), "", D1080 - XLOOKUP(A1080, Inventory!A:A, Inventory!H:H, TODAY()))</f>
        <v/>
      </c>
    </row>
    <row r="1081">
      <c r="E1081">
        <f>IF(ISBLANK(A1081), "", XLOOKUP(A1081, Inventory!A:A, Inventory!E:E, 0))</f>
        <v/>
      </c>
      <c r="F1081">
        <f>IF(ISBLANK(A1081), "", (B1081 * XLOOKUP(C1081, 'Fees &amp; Postage Table'!A:A, 'Fees &amp; Postage Table'!C:C, 0)) + XLOOKUP(C1081, 'Fees &amp; Postage Table'!A:A, 'Fees &amp; Postage Table'!B:B, 0))</f>
        <v/>
      </c>
      <c r="G1081">
        <f>IF(ISBLANK(A1081), "", XLOOKUP(C1081, 'Fees &amp; Postage Table'!A:A, 'Fees &amp; Postage Table'!D:D, 0))</f>
        <v/>
      </c>
      <c r="H1081">
        <f>IF(ISBLANK(A1081), "", B1081 - E1081 - F1081 - G1081)</f>
        <v/>
      </c>
      <c r="I1081">
        <f>IF(ISBLANK(A1081), "", D1081 - XLOOKUP(A1081, Inventory!A:A, Inventory!H:H, TODAY()))</f>
        <v/>
      </c>
    </row>
    <row r="1082">
      <c r="E1082">
        <f>IF(ISBLANK(A1082), "", XLOOKUP(A1082, Inventory!A:A, Inventory!E:E, 0))</f>
        <v/>
      </c>
      <c r="F1082">
        <f>IF(ISBLANK(A1082), "", (B1082 * XLOOKUP(C1082, 'Fees &amp; Postage Table'!A:A, 'Fees &amp; Postage Table'!C:C, 0)) + XLOOKUP(C1082, 'Fees &amp; Postage Table'!A:A, 'Fees &amp; Postage Table'!B:B, 0))</f>
        <v/>
      </c>
      <c r="G1082">
        <f>IF(ISBLANK(A1082), "", XLOOKUP(C1082, 'Fees &amp; Postage Table'!A:A, 'Fees &amp; Postage Table'!D:D, 0))</f>
        <v/>
      </c>
      <c r="H1082">
        <f>IF(ISBLANK(A1082), "", B1082 - E1082 - F1082 - G1082)</f>
        <v/>
      </c>
      <c r="I1082">
        <f>IF(ISBLANK(A1082), "", D1082 - XLOOKUP(A1082, Inventory!A:A, Inventory!H:H, TODAY()))</f>
        <v/>
      </c>
    </row>
    <row r="1083">
      <c r="E1083">
        <f>IF(ISBLANK(A1083), "", XLOOKUP(A1083, Inventory!A:A, Inventory!E:E, 0))</f>
        <v/>
      </c>
      <c r="F1083">
        <f>IF(ISBLANK(A1083), "", (B1083 * XLOOKUP(C1083, 'Fees &amp; Postage Table'!A:A, 'Fees &amp; Postage Table'!C:C, 0)) + XLOOKUP(C1083, 'Fees &amp; Postage Table'!A:A, 'Fees &amp; Postage Table'!B:B, 0))</f>
        <v/>
      </c>
      <c r="G1083">
        <f>IF(ISBLANK(A1083), "", XLOOKUP(C1083, 'Fees &amp; Postage Table'!A:A, 'Fees &amp; Postage Table'!D:D, 0))</f>
        <v/>
      </c>
      <c r="H1083">
        <f>IF(ISBLANK(A1083), "", B1083 - E1083 - F1083 - G1083)</f>
        <v/>
      </c>
      <c r="I1083">
        <f>IF(ISBLANK(A1083), "", D1083 - XLOOKUP(A1083, Inventory!A:A, Inventory!H:H, TODAY()))</f>
        <v/>
      </c>
    </row>
    <row r="1084">
      <c r="E1084">
        <f>IF(ISBLANK(A1084), "", XLOOKUP(A1084, Inventory!A:A, Inventory!E:E, 0))</f>
        <v/>
      </c>
      <c r="F1084">
        <f>IF(ISBLANK(A1084), "", (B1084 * XLOOKUP(C1084, 'Fees &amp; Postage Table'!A:A, 'Fees &amp; Postage Table'!C:C, 0)) + XLOOKUP(C1084, 'Fees &amp; Postage Table'!A:A, 'Fees &amp; Postage Table'!B:B, 0))</f>
        <v/>
      </c>
      <c r="G1084">
        <f>IF(ISBLANK(A1084), "", XLOOKUP(C1084, 'Fees &amp; Postage Table'!A:A, 'Fees &amp; Postage Table'!D:D, 0))</f>
        <v/>
      </c>
      <c r="H1084">
        <f>IF(ISBLANK(A1084), "", B1084 - E1084 - F1084 - G1084)</f>
        <v/>
      </c>
      <c r="I1084">
        <f>IF(ISBLANK(A1084), "", D1084 - XLOOKUP(A1084, Inventory!A:A, Inventory!H:H, TODAY()))</f>
        <v/>
      </c>
    </row>
    <row r="1085">
      <c r="E1085">
        <f>IF(ISBLANK(A1085), "", XLOOKUP(A1085, Inventory!A:A, Inventory!E:E, 0))</f>
        <v/>
      </c>
      <c r="F1085">
        <f>IF(ISBLANK(A1085), "", (B1085 * XLOOKUP(C1085, 'Fees &amp; Postage Table'!A:A, 'Fees &amp; Postage Table'!C:C, 0)) + XLOOKUP(C1085, 'Fees &amp; Postage Table'!A:A, 'Fees &amp; Postage Table'!B:B, 0))</f>
        <v/>
      </c>
      <c r="G1085">
        <f>IF(ISBLANK(A1085), "", XLOOKUP(C1085, 'Fees &amp; Postage Table'!A:A, 'Fees &amp; Postage Table'!D:D, 0))</f>
        <v/>
      </c>
      <c r="H1085">
        <f>IF(ISBLANK(A1085), "", B1085 - E1085 - F1085 - G1085)</f>
        <v/>
      </c>
      <c r="I1085">
        <f>IF(ISBLANK(A1085), "", D1085 - XLOOKUP(A1085, Inventory!A:A, Inventory!H:H, TODAY()))</f>
        <v/>
      </c>
    </row>
    <row r="1086">
      <c r="E1086">
        <f>IF(ISBLANK(A1086), "", XLOOKUP(A1086, Inventory!A:A, Inventory!E:E, 0))</f>
        <v/>
      </c>
      <c r="F1086">
        <f>IF(ISBLANK(A1086), "", (B1086 * XLOOKUP(C1086, 'Fees &amp; Postage Table'!A:A, 'Fees &amp; Postage Table'!C:C, 0)) + XLOOKUP(C1086, 'Fees &amp; Postage Table'!A:A, 'Fees &amp; Postage Table'!B:B, 0))</f>
        <v/>
      </c>
      <c r="G1086">
        <f>IF(ISBLANK(A1086), "", XLOOKUP(C1086, 'Fees &amp; Postage Table'!A:A, 'Fees &amp; Postage Table'!D:D, 0))</f>
        <v/>
      </c>
      <c r="H1086">
        <f>IF(ISBLANK(A1086), "", B1086 - E1086 - F1086 - G1086)</f>
        <v/>
      </c>
      <c r="I1086">
        <f>IF(ISBLANK(A1086), "", D1086 - XLOOKUP(A1086, Inventory!A:A, Inventory!H:H, TODAY()))</f>
        <v/>
      </c>
    </row>
    <row r="1087">
      <c r="E1087">
        <f>IF(ISBLANK(A1087), "", XLOOKUP(A1087, Inventory!A:A, Inventory!E:E, 0))</f>
        <v/>
      </c>
      <c r="F1087">
        <f>IF(ISBLANK(A1087), "", (B1087 * XLOOKUP(C1087, 'Fees &amp; Postage Table'!A:A, 'Fees &amp; Postage Table'!C:C, 0)) + XLOOKUP(C1087, 'Fees &amp; Postage Table'!A:A, 'Fees &amp; Postage Table'!B:B, 0))</f>
        <v/>
      </c>
      <c r="G1087">
        <f>IF(ISBLANK(A1087), "", XLOOKUP(C1087, 'Fees &amp; Postage Table'!A:A, 'Fees &amp; Postage Table'!D:D, 0))</f>
        <v/>
      </c>
      <c r="H1087">
        <f>IF(ISBLANK(A1087), "", B1087 - E1087 - F1087 - G1087)</f>
        <v/>
      </c>
      <c r="I1087">
        <f>IF(ISBLANK(A1087), "", D1087 - XLOOKUP(A1087, Inventory!A:A, Inventory!H:H, TODAY()))</f>
        <v/>
      </c>
    </row>
    <row r="1088">
      <c r="E1088">
        <f>IF(ISBLANK(A1088), "", XLOOKUP(A1088, Inventory!A:A, Inventory!E:E, 0))</f>
        <v/>
      </c>
      <c r="F1088">
        <f>IF(ISBLANK(A1088), "", (B1088 * XLOOKUP(C1088, 'Fees &amp; Postage Table'!A:A, 'Fees &amp; Postage Table'!C:C, 0)) + XLOOKUP(C1088, 'Fees &amp; Postage Table'!A:A, 'Fees &amp; Postage Table'!B:B, 0))</f>
        <v/>
      </c>
      <c r="G1088">
        <f>IF(ISBLANK(A1088), "", XLOOKUP(C1088, 'Fees &amp; Postage Table'!A:A, 'Fees &amp; Postage Table'!D:D, 0))</f>
        <v/>
      </c>
      <c r="H1088">
        <f>IF(ISBLANK(A1088), "", B1088 - E1088 - F1088 - G1088)</f>
        <v/>
      </c>
      <c r="I1088">
        <f>IF(ISBLANK(A1088), "", D1088 - XLOOKUP(A1088, Inventory!A:A, Inventory!H:H, TODAY()))</f>
        <v/>
      </c>
    </row>
    <row r="1089">
      <c r="E1089">
        <f>IF(ISBLANK(A1089), "", XLOOKUP(A1089, Inventory!A:A, Inventory!E:E, 0))</f>
        <v/>
      </c>
      <c r="F1089">
        <f>IF(ISBLANK(A1089), "", (B1089 * XLOOKUP(C1089, 'Fees &amp; Postage Table'!A:A, 'Fees &amp; Postage Table'!C:C, 0)) + XLOOKUP(C1089, 'Fees &amp; Postage Table'!A:A, 'Fees &amp; Postage Table'!B:B, 0))</f>
        <v/>
      </c>
      <c r="G1089">
        <f>IF(ISBLANK(A1089), "", XLOOKUP(C1089, 'Fees &amp; Postage Table'!A:A, 'Fees &amp; Postage Table'!D:D, 0))</f>
        <v/>
      </c>
      <c r="H1089">
        <f>IF(ISBLANK(A1089), "", B1089 - E1089 - F1089 - G1089)</f>
        <v/>
      </c>
      <c r="I1089">
        <f>IF(ISBLANK(A1089), "", D1089 - XLOOKUP(A1089, Inventory!A:A, Inventory!H:H, TODAY()))</f>
        <v/>
      </c>
    </row>
    <row r="1090">
      <c r="E1090">
        <f>IF(ISBLANK(A1090), "", XLOOKUP(A1090, Inventory!A:A, Inventory!E:E, 0))</f>
        <v/>
      </c>
      <c r="F1090">
        <f>IF(ISBLANK(A1090), "", (B1090 * XLOOKUP(C1090, 'Fees &amp; Postage Table'!A:A, 'Fees &amp; Postage Table'!C:C, 0)) + XLOOKUP(C1090, 'Fees &amp; Postage Table'!A:A, 'Fees &amp; Postage Table'!B:B, 0))</f>
        <v/>
      </c>
      <c r="G1090">
        <f>IF(ISBLANK(A1090), "", XLOOKUP(C1090, 'Fees &amp; Postage Table'!A:A, 'Fees &amp; Postage Table'!D:D, 0))</f>
        <v/>
      </c>
      <c r="H1090">
        <f>IF(ISBLANK(A1090), "", B1090 - E1090 - F1090 - G1090)</f>
        <v/>
      </c>
      <c r="I1090">
        <f>IF(ISBLANK(A1090), "", D1090 - XLOOKUP(A1090, Inventory!A:A, Inventory!H:H, TODAY()))</f>
        <v/>
      </c>
    </row>
    <row r="1091">
      <c r="E1091">
        <f>IF(ISBLANK(A1091), "", XLOOKUP(A1091, Inventory!A:A, Inventory!E:E, 0))</f>
        <v/>
      </c>
      <c r="F1091">
        <f>IF(ISBLANK(A1091), "", (B1091 * XLOOKUP(C1091, 'Fees &amp; Postage Table'!A:A, 'Fees &amp; Postage Table'!C:C, 0)) + XLOOKUP(C1091, 'Fees &amp; Postage Table'!A:A, 'Fees &amp; Postage Table'!B:B, 0))</f>
        <v/>
      </c>
      <c r="G1091">
        <f>IF(ISBLANK(A1091), "", XLOOKUP(C1091, 'Fees &amp; Postage Table'!A:A, 'Fees &amp; Postage Table'!D:D, 0))</f>
        <v/>
      </c>
      <c r="H1091">
        <f>IF(ISBLANK(A1091), "", B1091 - E1091 - F1091 - G1091)</f>
        <v/>
      </c>
      <c r="I1091">
        <f>IF(ISBLANK(A1091), "", D1091 - XLOOKUP(A1091, Inventory!A:A, Inventory!H:H, TODAY()))</f>
        <v/>
      </c>
    </row>
    <row r="1092">
      <c r="E1092">
        <f>IF(ISBLANK(A1092), "", XLOOKUP(A1092, Inventory!A:A, Inventory!E:E, 0))</f>
        <v/>
      </c>
      <c r="F1092">
        <f>IF(ISBLANK(A1092), "", (B1092 * XLOOKUP(C1092, 'Fees &amp; Postage Table'!A:A, 'Fees &amp; Postage Table'!C:C, 0)) + XLOOKUP(C1092, 'Fees &amp; Postage Table'!A:A, 'Fees &amp; Postage Table'!B:B, 0))</f>
        <v/>
      </c>
      <c r="G1092">
        <f>IF(ISBLANK(A1092), "", XLOOKUP(C1092, 'Fees &amp; Postage Table'!A:A, 'Fees &amp; Postage Table'!D:D, 0))</f>
        <v/>
      </c>
      <c r="H1092">
        <f>IF(ISBLANK(A1092), "", B1092 - E1092 - F1092 - G1092)</f>
        <v/>
      </c>
      <c r="I1092">
        <f>IF(ISBLANK(A1092), "", D1092 - XLOOKUP(A1092, Inventory!A:A, Inventory!H:H, TODAY()))</f>
        <v/>
      </c>
    </row>
    <row r="1093">
      <c r="E1093">
        <f>IF(ISBLANK(A1093), "", XLOOKUP(A1093, Inventory!A:A, Inventory!E:E, 0))</f>
        <v/>
      </c>
      <c r="F1093">
        <f>IF(ISBLANK(A1093), "", (B1093 * XLOOKUP(C1093, 'Fees &amp; Postage Table'!A:A, 'Fees &amp; Postage Table'!C:C, 0)) + XLOOKUP(C1093, 'Fees &amp; Postage Table'!A:A, 'Fees &amp; Postage Table'!B:B, 0))</f>
        <v/>
      </c>
      <c r="G1093">
        <f>IF(ISBLANK(A1093), "", XLOOKUP(C1093, 'Fees &amp; Postage Table'!A:A, 'Fees &amp; Postage Table'!D:D, 0))</f>
        <v/>
      </c>
      <c r="H1093">
        <f>IF(ISBLANK(A1093), "", B1093 - E1093 - F1093 - G1093)</f>
        <v/>
      </c>
      <c r="I1093">
        <f>IF(ISBLANK(A1093), "", D1093 - XLOOKUP(A1093, Inventory!A:A, Inventory!H:H, TODAY()))</f>
        <v/>
      </c>
    </row>
    <row r="1094">
      <c r="E1094">
        <f>IF(ISBLANK(A1094), "", XLOOKUP(A1094, Inventory!A:A, Inventory!E:E, 0))</f>
        <v/>
      </c>
      <c r="F1094">
        <f>IF(ISBLANK(A1094), "", (B1094 * XLOOKUP(C1094, 'Fees &amp; Postage Table'!A:A, 'Fees &amp; Postage Table'!C:C, 0)) + XLOOKUP(C1094, 'Fees &amp; Postage Table'!A:A, 'Fees &amp; Postage Table'!B:B, 0))</f>
        <v/>
      </c>
      <c r="G1094">
        <f>IF(ISBLANK(A1094), "", XLOOKUP(C1094, 'Fees &amp; Postage Table'!A:A, 'Fees &amp; Postage Table'!D:D, 0))</f>
        <v/>
      </c>
      <c r="H1094">
        <f>IF(ISBLANK(A1094), "", B1094 - E1094 - F1094 - G1094)</f>
        <v/>
      </c>
      <c r="I1094">
        <f>IF(ISBLANK(A1094), "", D1094 - XLOOKUP(A1094, Inventory!A:A, Inventory!H:H, TODAY()))</f>
        <v/>
      </c>
    </row>
    <row r="1095">
      <c r="E1095">
        <f>IF(ISBLANK(A1095), "", XLOOKUP(A1095, Inventory!A:A, Inventory!E:E, 0))</f>
        <v/>
      </c>
      <c r="F1095">
        <f>IF(ISBLANK(A1095), "", (B1095 * XLOOKUP(C1095, 'Fees &amp; Postage Table'!A:A, 'Fees &amp; Postage Table'!C:C, 0)) + XLOOKUP(C1095, 'Fees &amp; Postage Table'!A:A, 'Fees &amp; Postage Table'!B:B, 0))</f>
        <v/>
      </c>
      <c r="G1095">
        <f>IF(ISBLANK(A1095), "", XLOOKUP(C1095, 'Fees &amp; Postage Table'!A:A, 'Fees &amp; Postage Table'!D:D, 0))</f>
        <v/>
      </c>
      <c r="H1095">
        <f>IF(ISBLANK(A1095), "", B1095 - E1095 - F1095 - G1095)</f>
        <v/>
      </c>
      <c r="I1095">
        <f>IF(ISBLANK(A1095), "", D1095 - XLOOKUP(A1095, Inventory!A:A, Inventory!H:H, TODAY()))</f>
        <v/>
      </c>
    </row>
    <row r="1096">
      <c r="E1096">
        <f>IF(ISBLANK(A1096), "", XLOOKUP(A1096, Inventory!A:A, Inventory!E:E, 0))</f>
        <v/>
      </c>
      <c r="F1096">
        <f>IF(ISBLANK(A1096), "", (B1096 * XLOOKUP(C1096, 'Fees &amp; Postage Table'!A:A, 'Fees &amp; Postage Table'!C:C, 0)) + XLOOKUP(C1096, 'Fees &amp; Postage Table'!A:A, 'Fees &amp; Postage Table'!B:B, 0))</f>
        <v/>
      </c>
      <c r="G1096">
        <f>IF(ISBLANK(A1096), "", XLOOKUP(C1096, 'Fees &amp; Postage Table'!A:A, 'Fees &amp; Postage Table'!D:D, 0))</f>
        <v/>
      </c>
      <c r="H1096">
        <f>IF(ISBLANK(A1096), "", B1096 - E1096 - F1096 - G1096)</f>
        <v/>
      </c>
      <c r="I1096">
        <f>IF(ISBLANK(A1096), "", D1096 - XLOOKUP(A1096, Inventory!A:A, Inventory!H:H, TODAY()))</f>
        <v/>
      </c>
    </row>
    <row r="1097">
      <c r="E1097">
        <f>IF(ISBLANK(A1097), "", XLOOKUP(A1097, Inventory!A:A, Inventory!E:E, 0))</f>
        <v/>
      </c>
      <c r="F1097">
        <f>IF(ISBLANK(A1097), "", (B1097 * XLOOKUP(C1097, 'Fees &amp; Postage Table'!A:A, 'Fees &amp; Postage Table'!C:C, 0)) + XLOOKUP(C1097, 'Fees &amp; Postage Table'!A:A, 'Fees &amp; Postage Table'!B:B, 0))</f>
        <v/>
      </c>
      <c r="G1097">
        <f>IF(ISBLANK(A1097), "", XLOOKUP(C1097, 'Fees &amp; Postage Table'!A:A, 'Fees &amp; Postage Table'!D:D, 0))</f>
        <v/>
      </c>
      <c r="H1097">
        <f>IF(ISBLANK(A1097), "", B1097 - E1097 - F1097 - G1097)</f>
        <v/>
      </c>
      <c r="I1097">
        <f>IF(ISBLANK(A1097), "", D1097 - XLOOKUP(A1097, Inventory!A:A, Inventory!H:H, TODAY()))</f>
        <v/>
      </c>
    </row>
    <row r="1098">
      <c r="E1098">
        <f>IF(ISBLANK(A1098), "", XLOOKUP(A1098, Inventory!A:A, Inventory!E:E, 0))</f>
        <v/>
      </c>
      <c r="F1098">
        <f>IF(ISBLANK(A1098), "", (B1098 * XLOOKUP(C1098, 'Fees &amp; Postage Table'!A:A, 'Fees &amp; Postage Table'!C:C, 0)) + XLOOKUP(C1098, 'Fees &amp; Postage Table'!A:A, 'Fees &amp; Postage Table'!B:B, 0))</f>
        <v/>
      </c>
      <c r="G1098">
        <f>IF(ISBLANK(A1098), "", XLOOKUP(C1098, 'Fees &amp; Postage Table'!A:A, 'Fees &amp; Postage Table'!D:D, 0))</f>
        <v/>
      </c>
      <c r="H1098">
        <f>IF(ISBLANK(A1098), "", B1098 - E1098 - F1098 - G1098)</f>
        <v/>
      </c>
      <c r="I1098">
        <f>IF(ISBLANK(A1098), "", D1098 - XLOOKUP(A1098, Inventory!A:A, Inventory!H:H, TODAY()))</f>
        <v/>
      </c>
    </row>
    <row r="1099">
      <c r="E1099">
        <f>IF(ISBLANK(A1099), "", XLOOKUP(A1099, Inventory!A:A, Inventory!E:E, 0))</f>
        <v/>
      </c>
      <c r="F1099">
        <f>IF(ISBLANK(A1099), "", (B1099 * XLOOKUP(C1099, 'Fees &amp; Postage Table'!A:A, 'Fees &amp; Postage Table'!C:C, 0)) + XLOOKUP(C1099, 'Fees &amp; Postage Table'!A:A, 'Fees &amp; Postage Table'!B:B, 0))</f>
        <v/>
      </c>
      <c r="G1099">
        <f>IF(ISBLANK(A1099), "", XLOOKUP(C1099, 'Fees &amp; Postage Table'!A:A, 'Fees &amp; Postage Table'!D:D, 0))</f>
        <v/>
      </c>
      <c r="H1099">
        <f>IF(ISBLANK(A1099), "", B1099 - E1099 - F1099 - G1099)</f>
        <v/>
      </c>
      <c r="I1099">
        <f>IF(ISBLANK(A1099), "", D1099 - XLOOKUP(A1099, Inventory!A:A, Inventory!H:H, TODAY()))</f>
        <v/>
      </c>
    </row>
    <row r="1100">
      <c r="E1100">
        <f>IF(ISBLANK(A1100), "", XLOOKUP(A1100, Inventory!A:A, Inventory!E:E, 0))</f>
        <v/>
      </c>
      <c r="F1100">
        <f>IF(ISBLANK(A1100), "", (B1100 * XLOOKUP(C1100, 'Fees &amp; Postage Table'!A:A, 'Fees &amp; Postage Table'!C:C, 0)) + XLOOKUP(C1100, 'Fees &amp; Postage Table'!A:A, 'Fees &amp; Postage Table'!B:B, 0))</f>
        <v/>
      </c>
      <c r="G1100">
        <f>IF(ISBLANK(A1100), "", XLOOKUP(C1100, 'Fees &amp; Postage Table'!A:A, 'Fees &amp; Postage Table'!D:D, 0))</f>
        <v/>
      </c>
      <c r="H1100">
        <f>IF(ISBLANK(A1100), "", B1100 - E1100 - F1100 - G1100)</f>
        <v/>
      </c>
      <c r="I1100">
        <f>IF(ISBLANK(A1100), "", D1100 - XLOOKUP(A1100, Inventory!A:A, Inventory!H:H, TODAY()))</f>
        <v/>
      </c>
    </row>
    <row r="1101">
      <c r="E1101">
        <f>IF(ISBLANK(A1101), "", XLOOKUP(A1101, Inventory!A:A, Inventory!E:E, 0))</f>
        <v/>
      </c>
      <c r="F1101">
        <f>IF(ISBLANK(A1101), "", (B1101 * XLOOKUP(C1101, 'Fees &amp; Postage Table'!A:A, 'Fees &amp; Postage Table'!C:C, 0)) + XLOOKUP(C1101, 'Fees &amp; Postage Table'!A:A, 'Fees &amp; Postage Table'!B:B, 0))</f>
        <v/>
      </c>
      <c r="G1101">
        <f>IF(ISBLANK(A1101), "", XLOOKUP(C1101, 'Fees &amp; Postage Table'!A:A, 'Fees &amp; Postage Table'!D:D, 0))</f>
        <v/>
      </c>
      <c r="H1101">
        <f>IF(ISBLANK(A1101), "", B1101 - E1101 - F1101 - G1101)</f>
        <v/>
      </c>
      <c r="I1101">
        <f>IF(ISBLANK(A1101), "", D1101 - XLOOKUP(A1101, Inventory!A:A, Inventory!H:H, TODAY()))</f>
        <v/>
      </c>
    </row>
    <row r="1102">
      <c r="E1102">
        <f>IF(ISBLANK(A1102), "", XLOOKUP(A1102, Inventory!A:A, Inventory!E:E, 0))</f>
        <v/>
      </c>
      <c r="F1102">
        <f>IF(ISBLANK(A1102), "", (B1102 * XLOOKUP(C1102, 'Fees &amp; Postage Table'!A:A, 'Fees &amp; Postage Table'!C:C, 0)) + XLOOKUP(C1102, 'Fees &amp; Postage Table'!A:A, 'Fees &amp; Postage Table'!B:B, 0))</f>
        <v/>
      </c>
      <c r="G1102">
        <f>IF(ISBLANK(A1102), "", XLOOKUP(C1102, 'Fees &amp; Postage Table'!A:A, 'Fees &amp; Postage Table'!D:D, 0))</f>
        <v/>
      </c>
      <c r="H1102">
        <f>IF(ISBLANK(A1102), "", B1102 - E1102 - F1102 - G1102)</f>
        <v/>
      </c>
      <c r="I1102">
        <f>IF(ISBLANK(A1102), "", D1102 - XLOOKUP(A1102, Inventory!A:A, Inventory!H:H, TODAY()))</f>
        <v/>
      </c>
    </row>
    <row r="1103">
      <c r="E1103">
        <f>IF(ISBLANK(A1103), "", XLOOKUP(A1103, Inventory!A:A, Inventory!E:E, 0))</f>
        <v/>
      </c>
      <c r="F1103">
        <f>IF(ISBLANK(A1103), "", (B1103 * XLOOKUP(C1103, 'Fees &amp; Postage Table'!A:A, 'Fees &amp; Postage Table'!C:C, 0)) + XLOOKUP(C1103, 'Fees &amp; Postage Table'!A:A, 'Fees &amp; Postage Table'!B:B, 0))</f>
        <v/>
      </c>
      <c r="G1103">
        <f>IF(ISBLANK(A1103), "", XLOOKUP(C1103, 'Fees &amp; Postage Table'!A:A, 'Fees &amp; Postage Table'!D:D, 0))</f>
        <v/>
      </c>
      <c r="H1103">
        <f>IF(ISBLANK(A1103), "", B1103 - E1103 - F1103 - G1103)</f>
        <v/>
      </c>
      <c r="I1103">
        <f>IF(ISBLANK(A1103), "", D1103 - XLOOKUP(A1103, Inventory!A:A, Inventory!H:H, TODAY()))</f>
        <v/>
      </c>
    </row>
    <row r="1104">
      <c r="E1104">
        <f>IF(ISBLANK(A1104), "", XLOOKUP(A1104, Inventory!A:A, Inventory!E:E, 0))</f>
        <v/>
      </c>
      <c r="F1104">
        <f>IF(ISBLANK(A1104), "", (B1104 * XLOOKUP(C1104, 'Fees &amp; Postage Table'!A:A, 'Fees &amp; Postage Table'!C:C, 0)) + XLOOKUP(C1104, 'Fees &amp; Postage Table'!A:A, 'Fees &amp; Postage Table'!B:B, 0))</f>
        <v/>
      </c>
      <c r="G1104">
        <f>IF(ISBLANK(A1104), "", XLOOKUP(C1104, 'Fees &amp; Postage Table'!A:A, 'Fees &amp; Postage Table'!D:D, 0))</f>
        <v/>
      </c>
      <c r="H1104">
        <f>IF(ISBLANK(A1104), "", B1104 - E1104 - F1104 - G1104)</f>
        <v/>
      </c>
      <c r="I1104">
        <f>IF(ISBLANK(A1104), "", D1104 - XLOOKUP(A1104, Inventory!A:A, Inventory!H:H, TODAY()))</f>
        <v/>
      </c>
    </row>
    <row r="1105">
      <c r="E1105">
        <f>IF(ISBLANK(A1105), "", XLOOKUP(A1105, Inventory!A:A, Inventory!E:E, 0))</f>
        <v/>
      </c>
      <c r="F1105">
        <f>IF(ISBLANK(A1105), "", (B1105 * XLOOKUP(C1105, 'Fees &amp; Postage Table'!A:A, 'Fees &amp; Postage Table'!C:C, 0)) + XLOOKUP(C1105, 'Fees &amp; Postage Table'!A:A, 'Fees &amp; Postage Table'!B:B, 0))</f>
        <v/>
      </c>
      <c r="G1105">
        <f>IF(ISBLANK(A1105), "", XLOOKUP(C1105, 'Fees &amp; Postage Table'!A:A, 'Fees &amp; Postage Table'!D:D, 0))</f>
        <v/>
      </c>
      <c r="H1105">
        <f>IF(ISBLANK(A1105), "", B1105 - E1105 - F1105 - G1105)</f>
        <v/>
      </c>
      <c r="I1105">
        <f>IF(ISBLANK(A1105), "", D1105 - XLOOKUP(A1105, Inventory!A:A, Inventory!H:H, TODAY()))</f>
        <v/>
      </c>
    </row>
    <row r="1106">
      <c r="E1106">
        <f>IF(ISBLANK(A1106), "", XLOOKUP(A1106, Inventory!A:A, Inventory!E:E, 0))</f>
        <v/>
      </c>
      <c r="F1106">
        <f>IF(ISBLANK(A1106), "", (B1106 * XLOOKUP(C1106, 'Fees &amp; Postage Table'!A:A, 'Fees &amp; Postage Table'!C:C, 0)) + XLOOKUP(C1106, 'Fees &amp; Postage Table'!A:A, 'Fees &amp; Postage Table'!B:B, 0))</f>
        <v/>
      </c>
      <c r="G1106">
        <f>IF(ISBLANK(A1106), "", XLOOKUP(C1106, 'Fees &amp; Postage Table'!A:A, 'Fees &amp; Postage Table'!D:D, 0))</f>
        <v/>
      </c>
      <c r="H1106">
        <f>IF(ISBLANK(A1106), "", B1106 - E1106 - F1106 - G1106)</f>
        <v/>
      </c>
      <c r="I1106">
        <f>IF(ISBLANK(A1106), "", D1106 - XLOOKUP(A1106, Inventory!A:A, Inventory!H:H, TODAY()))</f>
        <v/>
      </c>
    </row>
    <row r="1107">
      <c r="E1107">
        <f>IF(ISBLANK(A1107), "", XLOOKUP(A1107, Inventory!A:A, Inventory!E:E, 0))</f>
        <v/>
      </c>
      <c r="F1107">
        <f>IF(ISBLANK(A1107), "", (B1107 * XLOOKUP(C1107, 'Fees &amp; Postage Table'!A:A, 'Fees &amp; Postage Table'!C:C, 0)) + XLOOKUP(C1107, 'Fees &amp; Postage Table'!A:A, 'Fees &amp; Postage Table'!B:B, 0))</f>
        <v/>
      </c>
      <c r="G1107">
        <f>IF(ISBLANK(A1107), "", XLOOKUP(C1107, 'Fees &amp; Postage Table'!A:A, 'Fees &amp; Postage Table'!D:D, 0))</f>
        <v/>
      </c>
      <c r="H1107">
        <f>IF(ISBLANK(A1107), "", B1107 - E1107 - F1107 - G1107)</f>
        <v/>
      </c>
      <c r="I1107">
        <f>IF(ISBLANK(A1107), "", D1107 - XLOOKUP(A1107, Inventory!A:A, Inventory!H:H, TODAY()))</f>
        <v/>
      </c>
    </row>
    <row r="1108">
      <c r="E1108">
        <f>IF(ISBLANK(A1108), "", XLOOKUP(A1108, Inventory!A:A, Inventory!E:E, 0))</f>
        <v/>
      </c>
      <c r="F1108">
        <f>IF(ISBLANK(A1108), "", (B1108 * XLOOKUP(C1108, 'Fees &amp; Postage Table'!A:A, 'Fees &amp; Postage Table'!C:C, 0)) + XLOOKUP(C1108, 'Fees &amp; Postage Table'!A:A, 'Fees &amp; Postage Table'!B:B, 0))</f>
        <v/>
      </c>
      <c r="G1108">
        <f>IF(ISBLANK(A1108), "", XLOOKUP(C1108, 'Fees &amp; Postage Table'!A:A, 'Fees &amp; Postage Table'!D:D, 0))</f>
        <v/>
      </c>
      <c r="H1108">
        <f>IF(ISBLANK(A1108), "", B1108 - E1108 - F1108 - G1108)</f>
        <v/>
      </c>
      <c r="I1108">
        <f>IF(ISBLANK(A1108), "", D1108 - XLOOKUP(A1108, Inventory!A:A, Inventory!H:H, TODAY()))</f>
        <v/>
      </c>
    </row>
    <row r="1109">
      <c r="E1109">
        <f>IF(ISBLANK(A1109), "", XLOOKUP(A1109, Inventory!A:A, Inventory!E:E, 0))</f>
        <v/>
      </c>
      <c r="F1109">
        <f>IF(ISBLANK(A1109), "", (B1109 * XLOOKUP(C1109, 'Fees &amp; Postage Table'!A:A, 'Fees &amp; Postage Table'!C:C, 0)) + XLOOKUP(C1109, 'Fees &amp; Postage Table'!A:A, 'Fees &amp; Postage Table'!B:B, 0))</f>
        <v/>
      </c>
      <c r="G1109">
        <f>IF(ISBLANK(A1109), "", XLOOKUP(C1109, 'Fees &amp; Postage Table'!A:A, 'Fees &amp; Postage Table'!D:D, 0))</f>
        <v/>
      </c>
      <c r="H1109">
        <f>IF(ISBLANK(A1109), "", B1109 - E1109 - F1109 - G1109)</f>
        <v/>
      </c>
      <c r="I1109">
        <f>IF(ISBLANK(A1109), "", D1109 - XLOOKUP(A1109, Inventory!A:A, Inventory!H:H, TODAY()))</f>
        <v/>
      </c>
    </row>
    <row r="1110">
      <c r="E1110">
        <f>IF(ISBLANK(A1110), "", XLOOKUP(A1110, Inventory!A:A, Inventory!E:E, 0))</f>
        <v/>
      </c>
      <c r="F1110">
        <f>IF(ISBLANK(A1110), "", (B1110 * XLOOKUP(C1110, 'Fees &amp; Postage Table'!A:A, 'Fees &amp; Postage Table'!C:C, 0)) + XLOOKUP(C1110, 'Fees &amp; Postage Table'!A:A, 'Fees &amp; Postage Table'!B:B, 0))</f>
        <v/>
      </c>
      <c r="G1110">
        <f>IF(ISBLANK(A1110), "", XLOOKUP(C1110, 'Fees &amp; Postage Table'!A:A, 'Fees &amp; Postage Table'!D:D, 0))</f>
        <v/>
      </c>
      <c r="H1110">
        <f>IF(ISBLANK(A1110), "", B1110 - E1110 - F1110 - G1110)</f>
        <v/>
      </c>
      <c r="I1110">
        <f>IF(ISBLANK(A1110), "", D1110 - XLOOKUP(A1110, Inventory!A:A, Inventory!H:H, TODAY()))</f>
        <v/>
      </c>
    </row>
    <row r="1111">
      <c r="E1111">
        <f>IF(ISBLANK(A1111), "", XLOOKUP(A1111, Inventory!A:A, Inventory!E:E, 0))</f>
        <v/>
      </c>
      <c r="F1111">
        <f>IF(ISBLANK(A1111), "", (B1111 * XLOOKUP(C1111, 'Fees &amp; Postage Table'!A:A, 'Fees &amp; Postage Table'!C:C, 0)) + XLOOKUP(C1111, 'Fees &amp; Postage Table'!A:A, 'Fees &amp; Postage Table'!B:B, 0))</f>
        <v/>
      </c>
      <c r="G1111">
        <f>IF(ISBLANK(A1111), "", XLOOKUP(C1111, 'Fees &amp; Postage Table'!A:A, 'Fees &amp; Postage Table'!D:D, 0))</f>
        <v/>
      </c>
      <c r="H1111">
        <f>IF(ISBLANK(A1111), "", B1111 - E1111 - F1111 - G1111)</f>
        <v/>
      </c>
      <c r="I1111">
        <f>IF(ISBLANK(A1111), "", D1111 - XLOOKUP(A1111, Inventory!A:A, Inventory!H:H, TODAY()))</f>
        <v/>
      </c>
    </row>
    <row r="1112">
      <c r="E1112">
        <f>IF(ISBLANK(A1112), "", XLOOKUP(A1112, Inventory!A:A, Inventory!E:E, 0))</f>
        <v/>
      </c>
      <c r="F1112">
        <f>IF(ISBLANK(A1112), "", (B1112 * XLOOKUP(C1112, 'Fees &amp; Postage Table'!A:A, 'Fees &amp; Postage Table'!C:C, 0)) + XLOOKUP(C1112, 'Fees &amp; Postage Table'!A:A, 'Fees &amp; Postage Table'!B:B, 0))</f>
        <v/>
      </c>
      <c r="G1112">
        <f>IF(ISBLANK(A1112), "", XLOOKUP(C1112, 'Fees &amp; Postage Table'!A:A, 'Fees &amp; Postage Table'!D:D, 0))</f>
        <v/>
      </c>
      <c r="H1112">
        <f>IF(ISBLANK(A1112), "", B1112 - E1112 - F1112 - G1112)</f>
        <v/>
      </c>
      <c r="I1112">
        <f>IF(ISBLANK(A1112), "", D1112 - XLOOKUP(A1112, Inventory!A:A, Inventory!H:H, TODAY()))</f>
        <v/>
      </c>
    </row>
    <row r="1113">
      <c r="E1113">
        <f>IF(ISBLANK(A1113), "", XLOOKUP(A1113, Inventory!A:A, Inventory!E:E, 0))</f>
        <v/>
      </c>
      <c r="F1113">
        <f>IF(ISBLANK(A1113), "", (B1113 * XLOOKUP(C1113, 'Fees &amp; Postage Table'!A:A, 'Fees &amp; Postage Table'!C:C, 0)) + XLOOKUP(C1113, 'Fees &amp; Postage Table'!A:A, 'Fees &amp; Postage Table'!B:B, 0))</f>
        <v/>
      </c>
      <c r="G1113">
        <f>IF(ISBLANK(A1113), "", XLOOKUP(C1113, 'Fees &amp; Postage Table'!A:A, 'Fees &amp; Postage Table'!D:D, 0))</f>
        <v/>
      </c>
      <c r="H1113">
        <f>IF(ISBLANK(A1113), "", B1113 - E1113 - F1113 - G1113)</f>
        <v/>
      </c>
      <c r="I1113">
        <f>IF(ISBLANK(A1113), "", D1113 - XLOOKUP(A1113, Inventory!A:A, Inventory!H:H, TODAY()))</f>
        <v/>
      </c>
    </row>
    <row r="1114">
      <c r="E1114">
        <f>IF(ISBLANK(A1114), "", XLOOKUP(A1114, Inventory!A:A, Inventory!E:E, 0))</f>
        <v/>
      </c>
      <c r="F1114">
        <f>IF(ISBLANK(A1114), "", (B1114 * XLOOKUP(C1114, 'Fees &amp; Postage Table'!A:A, 'Fees &amp; Postage Table'!C:C, 0)) + XLOOKUP(C1114, 'Fees &amp; Postage Table'!A:A, 'Fees &amp; Postage Table'!B:B, 0))</f>
        <v/>
      </c>
      <c r="G1114">
        <f>IF(ISBLANK(A1114), "", XLOOKUP(C1114, 'Fees &amp; Postage Table'!A:A, 'Fees &amp; Postage Table'!D:D, 0))</f>
        <v/>
      </c>
      <c r="H1114">
        <f>IF(ISBLANK(A1114), "", B1114 - E1114 - F1114 - G1114)</f>
        <v/>
      </c>
      <c r="I1114">
        <f>IF(ISBLANK(A1114), "", D1114 - XLOOKUP(A1114, Inventory!A:A, Inventory!H:H, TODAY()))</f>
        <v/>
      </c>
    </row>
    <row r="1115">
      <c r="E1115">
        <f>IF(ISBLANK(A1115), "", XLOOKUP(A1115, Inventory!A:A, Inventory!E:E, 0))</f>
        <v/>
      </c>
      <c r="F1115">
        <f>IF(ISBLANK(A1115), "", (B1115 * XLOOKUP(C1115, 'Fees &amp; Postage Table'!A:A, 'Fees &amp; Postage Table'!C:C, 0)) + XLOOKUP(C1115, 'Fees &amp; Postage Table'!A:A, 'Fees &amp; Postage Table'!B:B, 0))</f>
        <v/>
      </c>
      <c r="G1115">
        <f>IF(ISBLANK(A1115), "", XLOOKUP(C1115, 'Fees &amp; Postage Table'!A:A, 'Fees &amp; Postage Table'!D:D, 0))</f>
        <v/>
      </c>
      <c r="H1115">
        <f>IF(ISBLANK(A1115), "", B1115 - E1115 - F1115 - G1115)</f>
        <v/>
      </c>
      <c r="I1115">
        <f>IF(ISBLANK(A1115), "", D1115 - XLOOKUP(A1115, Inventory!A:A, Inventory!H:H, TODAY()))</f>
        <v/>
      </c>
    </row>
    <row r="1116">
      <c r="E1116">
        <f>IF(ISBLANK(A1116), "", XLOOKUP(A1116, Inventory!A:A, Inventory!E:E, 0))</f>
        <v/>
      </c>
      <c r="F1116">
        <f>IF(ISBLANK(A1116), "", (B1116 * XLOOKUP(C1116, 'Fees &amp; Postage Table'!A:A, 'Fees &amp; Postage Table'!C:C, 0)) + XLOOKUP(C1116, 'Fees &amp; Postage Table'!A:A, 'Fees &amp; Postage Table'!B:B, 0))</f>
        <v/>
      </c>
      <c r="G1116">
        <f>IF(ISBLANK(A1116), "", XLOOKUP(C1116, 'Fees &amp; Postage Table'!A:A, 'Fees &amp; Postage Table'!D:D, 0))</f>
        <v/>
      </c>
      <c r="H1116">
        <f>IF(ISBLANK(A1116), "", B1116 - E1116 - F1116 - G1116)</f>
        <v/>
      </c>
      <c r="I1116">
        <f>IF(ISBLANK(A1116), "", D1116 - XLOOKUP(A1116, Inventory!A:A, Inventory!H:H, TODAY()))</f>
        <v/>
      </c>
    </row>
    <row r="1117">
      <c r="E1117">
        <f>IF(ISBLANK(A1117), "", XLOOKUP(A1117, Inventory!A:A, Inventory!E:E, 0))</f>
        <v/>
      </c>
      <c r="F1117">
        <f>IF(ISBLANK(A1117), "", (B1117 * XLOOKUP(C1117, 'Fees &amp; Postage Table'!A:A, 'Fees &amp; Postage Table'!C:C, 0)) + XLOOKUP(C1117, 'Fees &amp; Postage Table'!A:A, 'Fees &amp; Postage Table'!B:B, 0))</f>
        <v/>
      </c>
      <c r="G1117">
        <f>IF(ISBLANK(A1117), "", XLOOKUP(C1117, 'Fees &amp; Postage Table'!A:A, 'Fees &amp; Postage Table'!D:D, 0))</f>
        <v/>
      </c>
      <c r="H1117">
        <f>IF(ISBLANK(A1117), "", B1117 - E1117 - F1117 - G1117)</f>
        <v/>
      </c>
      <c r="I1117">
        <f>IF(ISBLANK(A1117), "", D1117 - XLOOKUP(A1117, Inventory!A:A, Inventory!H:H, TODAY()))</f>
        <v/>
      </c>
    </row>
    <row r="1118">
      <c r="E1118">
        <f>IF(ISBLANK(A1118), "", XLOOKUP(A1118, Inventory!A:A, Inventory!E:E, 0))</f>
        <v/>
      </c>
      <c r="F1118">
        <f>IF(ISBLANK(A1118), "", (B1118 * XLOOKUP(C1118, 'Fees &amp; Postage Table'!A:A, 'Fees &amp; Postage Table'!C:C, 0)) + XLOOKUP(C1118, 'Fees &amp; Postage Table'!A:A, 'Fees &amp; Postage Table'!B:B, 0))</f>
        <v/>
      </c>
      <c r="G1118">
        <f>IF(ISBLANK(A1118), "", XLOOKUP(C1118, 'Fees &amp; Postage Table'!A:A, 'Fees &amp; Postage Table'!D:D, 0))</f>
        <v/>
      </c>
      <c r="H1118">
        <f>IF(ISBLANK(A1118), "", B1118 - E1118 - F1118 - G1118)</f>
        <v/>
      </c>
      <c r="I1118">
        <f>IF(ISBLANK(A1118), "", D1118 - XLOOKUP(A1118, Inventory!A:A, Inventory!H:H, TODAY()))</f>
        <v/>
      </c>
    </row>
    <row r="1119">
      <c r="E1119">
        <f>IF(ISBLANK(A1119), "", XLOOKUP(A1119, Inventory!A:A, Inventory!E:E, 0))</f>
        <v/>
      </c>
      <c r="F1119">
        <f>IF(ISBLANK(A1119), "", (B1119 * XLOOKUP(C1119, 'Fees &amp; Postage Table'!A:A, 'Fees &amp; Postage Table'!C:C, 0)) + XLOOKUP(C1119, 'Fees &amp; Postage Table'!A:A, 'Fees &amp; Postage Table'!B:B, 0))</f>
        <v/>
      </c>
      <c r="G1119">
        <f>IF(ISBLANK(A1119), "", XLOOKUP(C1119, 'Fees &amp; Postage Table'!A:A, 'Fees &amp; Postage Table'!D:D, 0))</f>
        <v/>
      </c>
      <c r="H1119">
        <f>IF(ISBLANK(A1119), "", B1119 - E1119 - F1119 - G1119)</f>
        <v/>
      </c>
      <c r="I1119">
        <f>IF(ISBLANK(A1119), "", D1119 - XLOOKUP(A1119, Inventory!A:A, Inventory!H:H, TODAY()))</f>
        <v/>
      </c>
    </row>
    <row r="1120">
      <c r="E1120">
        <f>IF(ISBLANK(A1120), "", XLOOKUP(A1120, Inventory!A:A, Inventory!E:E, 0))</f>
        <v/>
      </c>
      <c r="F1120">
        <f>IF(ISBLANK(A1120), "", (B1120 * XLOOKUP(C1120, 'Fees &amp; Postage Table'!A:A, 'Fees &amp; Postage Table'!C:C, 0)) + XLOOKUP(C1120, 'Fees &amp; Postage Table'!A:A, 'Fees &amp; Postage Table'!B:B, 0))</f>
        <v/>
      </c>
      <c r="G1120">
        <f>IF(ISBLANK(A1120), "", XLOOKUP(C1120, 'Fees &amp; Postage Table'!A:A, 'Fees &amp; Postage Table'!D:D, 0))</f>
        <v/>
      </c>
      <c r="H1120">
        <f>IF(ISBLANK(A1120), "", B1120 - E1120 - F1120 - G1120)</f>
        <v/>
      </c>
      <c r="I1120">
        <f>IF(ISBLANK(A1120), "", D1120 - XLOOKUP(A1120, Inventory!A:A, Inventory!H:H, TODAY()))</f>
        <v/>
      </c>
    </row>
    <row r="1121">
      <c r="E1121">
        <f>IF(ISBLANK(A1121), "", XLOOKUP(A1121, Inventory!A:A, Inventory!E:E, 0))</f>
        <v/>
      </c>
      <c r="F1121">
        <f>IF(ISBLANK(A1121), "", (B1121 * XLOOKUP(C1121, 'Fees &amp; Postage Table'!A:A, 'Fees &amp; Postage Table'!C:C, 0)) + XLOOKUP(C1121, 'Fees &amp; Postage Table'!A:A, 'Fees &amp; Postage Table'!B:B, 0))</f>
        <v/>
      </c>
      <c r="G1121">
        <f>IF(ISBLANK(A1121), "", XLOOKUP(C1121, 'Fees &amp; Postage Table'!A:A, 'Fees &amp; Postage Table'!D:D, 0))</f>
        <v/>
      </c>
      <c r="H1121">
        <f>IF(ISBLANK(A1121), "", B1121 - E1121 - F1121 - G1121)</f>
        <v/>
      </c>
      <c r="I1121">
        <f>IF(ISBLANK(A1121), "", D1121 - XLOOKUP(A1121, Inventory!A:A, Inventory!H:H, TODAY()))</f>
        <v/>
      </c>
    </row>
    <row r="1122">
      <c r="E1122">
        <f>IF(ISBLANK(A1122), "", XLOOKUP(A1122, Inventory!A:A, Inventory!E:E, 0))</f>
        <v/>
      </c>
      <c r="F1122">
        <f>IF(ISBLANK(A1122), "", (B1122 * XLOOKUP(C1122, 'Fees &amp; Postage Table'!A:A, 'Fees &amp; Postage Table'!C:C, 0)) + XLOOKUP(C1122, 'Fees &amp; Postage Table'!A:A, 'Fees &amp; Postage Table'!B:B, 0))</f>
        <v/>
      </c>
      <c r="G1122">
        <f>IF(ISBLANK(A1122), "", XLOOKUP(C1122, 'Fees &amp; Postage Table'!A:A, 'Fees &amp; Postage Table'!D:D, 0))</f>
        <v/>
      </c>
      <c r="H1122">
        <f>IF(ISBLANK(A1122), "", B1122 - E1122 - F1122 - G1122)</f>
        <v/>
      </c>
      <c r="I1122">
        <f>IF(ISBLANK(A1122), "", D1122 - XLOOKUP(A1122, Inventory!A:A, Inventory!H:H, TODAY()))</f>
        <v/>
      </c>
    </row>
    <row r="1123">
      <c r="E1123">
        <f>IF(ISBLANK(A1123), "", XLOOKUP(A1123, Inventory!A:A, Inventory!E:E, 0))</f>
        <v/>
      </c>
      <c r="F1123">
        <f>IF(ISBLANK(A1123), "", (B1123 * XLOOKUP(C1123, 'Fees &amp; Postage Table'!A:A, 'Fees &amp; Postage Table'!C:C, 0)) + XLOOKUP(C1123, 'Fees &amp; Postage Table'!A:A, 'Fees &amp; Postage Table'!B:B, 0))</f>
        <v/>
      </c>
      <c r="G1123">
        <f>IF(ISBLANK(A1123), "", XLOOKUP(C1123, 'Fees &amp; Postage Table'!A:A, 'Fees &amp; Postage Table'!D:D, 0))</f>
        <v/>
      </c>
      <c r="H1123">
        <f>IF(ISBLANK(A1123), "", B1123 - E1123 - F1123 - G1123)</f>
        <v/>
      </c>
      <c r="I1123">
        <f>IF(ISBLANK(A1123), "", D1123 - XLOOKUP(A1123, Inventory!A:A, Inventory!H:H, TODAY()))</f>
        <v/>
      </c>
    </row>
    <row r="1124">
      <c r="E1124">
        <f>IF(ISBLANK(A1124), "", XLOOKUP(A1124, Inventory!A:A, Inventory!E:E, 0))</f>
        <v/>
      </c>
      <c r="F1124">
        <f>IF(ISBLANK(A1124), "", (B1124 * XLOOKUP(C1124, 'Fees &amp; Postage Table'!A:A, 'Fees &amp; Postage Table'!C:C, 0)) + XLOOKUP(C1124, 'Fees &amp; Postage Table'!A:A, 'Fees &amp; Postage Table'!B:B, 0))</f>
        <v/>
      </c>
      <c r="G1124">
        <f>IF(ISBLANK(A1124), "", XLOOKUP(C1124, 'Fees &amp; Postage Table'!A:A, 'Fees &amp; Postage Table'!D:D, 0))</f>
        <v/>
      </c>
      <c r="H1124">
        <f>IF(ISBLANK(A1124), "", B1124 - E1124 - F1124 - G1124)</f>
        <v/>
      </c>
      <c r="I1124">
        <f>IF(ISBLANK(A1124), "", D1124 - XLOOKUP(A1124, Inventory!A:A, Inventory!H:H, TODAY()))</f>
        <v/>
      </c>
    </row>
    <row r="1125">
      <c r="E1125">
        <f>IF(ISBLANK(A1125), "", XLOOKUP(A1125, Inventory!A:A, Inventory!E:E, 0))</f>
        <v/>
      </c>
      <c r="F1125">
        <f>IF(ISBLANK(A1125), "", (B1125 * XLOOKUP(C1125, 'Fees &amp; Postage Table'!A:A, 'Fees &amp; Postage Table'!C:C, 0)) + XLOOKUP(C1125, 'Fees &amp; Postage Table'!A:A, 'Fees &amp; Postage Table'!B:B, 0))</f>
        <v/>
      </c>
      <c r="G1125">
        <f>IF(ISBLANK(A1125), "", XLOOKUP(C1125, 'Fees &amp; Postage Table'!A:A, 'Fees &amp; Postage Table'!D:D, 0))</f>
        <v/>
      </c>
      <c r="H1125">
        <f>IF(ISBLANK(A1125), "", B1125 - E1125 - F1125 - G1125)</f>
        <v/>
      </c>
      <c r="I1125">
        <f>IF(ISBLANK(A1125), "", D1125 - XLOOKUP(A1125, Inventory!A:A, Inventory!H:H, TODAY()))</f>
        <v/>
      </c>
    </row>
    <row r="1126">
      <c r="E1126">
        <f>IF(ISBLANK(A1126), "", XLOOKUP(A1126, Inventory!A:A, Inventory!E:E, 0))</f>
        <v/>
      </c>
      <c r="F1126">
        <f>IF(ISBLANK(A1126), "", (B1126 * XLOOKUP(C1126, 'Fees &amp; Postage Table'!A:A, 'Fees &amp; Postage Table'!C:C, 0)) + XLOOKUP(C1126, 'Fees &amp; Postage Table'!A:A, 'Fees &amp; Postage Table'!B:B, 0))</f>
        <v/>
      </c>
      <c r="G1126">
        <f>IF(ISBLANK(A1126), "", XLOOKUP(C1126, 'Fees &amp; Postage Table'!A:A, 'Fees &amp; Postage Table'!D:D, 0))</f>
        <v/>
      </c>
      <c r="H1126">
        <f>IF(ISBLANK(A1126), "", B1126 - E1126 - F1126 - G1126)</f>
        <v/>
      </c>
      <c r="I1126">
        <f>IF(ISBLANK(A1126), "", D1126 - XLOOKUP(A1126, Inventory!A:A, Inventory!H:H, TODAY()))</f>
        <v/>
      </c>
    </row>
    <row r="1127">
      <c r="E1127">
        <f>IF(ISBLANK(A1127), "", XLOOKUP(A1127, Inventory!A:A, Inventory!E:E, 0))</f>
        <v/>
      </c>
      <c r="F1127">
        <f>IF(ISBLANK(A1127), "", (B1127 * XLOOKUP(C1127, 'Fees &amp; Postage Table'!A:A, 'Fees &amp; Postage Table'!C:C, 0)) + XLOOKUP(C1127, 'Fees &amp; Postage Table'!A:A, 'Fees &amp; Postage Table'!B:B, 0))</f>
        <v/>
      </c>
      <c r="G1127">
        <f>IF(ISBLANK(A1127), "", XLOOKUP(C1127, 'Fees &amp; Postage Table'!A:A, 'Fees &amp; Postage Table'!D:D, 0))</f>
        <v/>
      </c>
      <c r="H1127">
        <f>IF(ISBLANK(A1127), "", B1127 - E1127 - F1127 - G1127)</f>
        <v/>
      </c>
      <c r="I1127">
        <f>IF(ISBLANK(A1127), "", D1127 - XLOOKUP(A1127, Inventory!A:A, Inventory!H:H, TODAY()))</f>
        <v/>
      </c>
    </row>
    <row r="1128">
      <c r="E1128">
        <f>IF(ISBLANK(A1128), "", XLOOKUP(A1128, Inventory!A:A, Inventory!E:E, 0))</f>
        <v/>
      </c>
      <c r="F1128">
        <f>IF(ISBLANK(A1128), "", (B1128 * XLOOKUP(C1128, 'Fees &amp; Postage Table'!A:A, 'Fees &amp; Postage Table'!C:C, 0)) + XLOOKUP(C1128, 'Fees &amp; Postage Table'!A:A, 'Fees &amp; Postage Table'!B:B, 0))</f>
        <v/>
      </c>
      <c r="G1128">
        <f>IF(ISBLANK(A1128), "", XLOOKUP(C1128, 'Fees &amp; Postage Table'!A:A, 'Fees &amp; Postage Table'!D:D, 0))</f>
        <v/>
      </c>
      <c r="H1128">
        <f>IF(ISBLANK(A1128), "", B1128 - E1128 - F1128 - G1128)</f>
        <v/>
      </c>
      <c r="I1128">
        <f>IF(ISBLANK(A1128), "", D1128 - XLOOKUP(A1128, Inventory!A:A, Inventory!H:H, TODAY()))</f>
        <v/>
      </c>
    </row>
    <row r="1129">
      <c r="E1129">
        <f>IF(ISBLANK(A1129), "", XLOOKUP(A1129, Inventory!A:A, Inventory!E:E, 0))</f>
        <v/>
      </c>
      <c r="F1129">
        <f>IF(ISBLANK(A1129), "", (B1129 * XLOOKUP(C1129, 'Fees &amp; Postage Table'!A:A, 'Fees &amp; Postage Table'!C:C, 0)) + XLOOKUP(C1129, 'Fees &amp; Postage Table'!A:A, 'Fees &amp; Postage Table'!B:B, 0))</f>
        <v/>
      </c>
      <c r="G1129">
        <f>IF(ISBLANK(A1129), "", XLOOKUP(C1129, 'Fees &amp; Postage Table'!A:A, 'Fees &amp; Postage Table'!D:D, 0))</f>
        <v/>
      </c>
      <c r="H1129">
        <f>IF(ISBLANK(A1129), "", B1129 - E1129 - F1129 - G1129)</f>
        <v/>
      </c>
      <c r="I1129">
        <f>IF(ISBLANK(A1129), "", D1129 - XLOOKUP(A1129, Inventory!A:A, Inventory!H:H, TODAY()))</f>
        <v/>
      </c>
    </row>
    <row r="1130">
      <c r="E1130">
        <f>IF(ISBLANK(A1130), "", XLOOKUP(A1130, Inventory!A:A, Inventory!E:E, 0))</f>
        <v/>
      </c>
      <c r="F1130">
        <f>IF(ISBLANK(A1130), "", (B1130 * XLOOKUP(C1130, 'Fees &amp; Postage Table'!A:A, 'Fees &amp; Postage Table'!C:C, 0)) + XLOOKUP(C1130, 'Fees &amp; Postage Table'!A:A, 'Fees &amp; Postage Table'!B:B, 0))</f>
        <v/>
      </c>
      <c r="G1130">
        <f>IF(ISBLANK(A1130), "", XLOOKUP(C1130, 'Fees &amp; Postage Table'!A:A, 'Fees &amp; Postage Table'!D:D, 0))</f>
        <v/>
      </c>
      <c r="H1130">
        <f>IF(ISBLANK(A1130), "", B1130 - E1130 - F1130 - G1130)</f>
        <v/>
      </c>
      <c r="I1130">
        <f>IF(ISBLANK(A1130), "", D1130 - XLOOKUP(A1130, Inventory!A:A, Inventory!H:H, TODAY()))</f>
        <v/>
      </c>
    </row>
    <row r="1131">
      <c r="E1131">
        <f>IF(ISBLANK(A1131), "", XLOOKUP(A1131, Inventory!A:A, Inventory!E:E, 0))</f>
        <v/>
      </c>
      <c r="F1131">
        <f>IF(ISBLANK(A1131), "", (B1131 * XLOOKUP(C1131, 'Fees &amp; Postage Table'!A:A, 'Fees &amp; Postage Table'!C:C, 0)) + XLOOKUP(C1131, 'Fees &amp; Postage Table'!A:A, 'Fees &amp; Postage Table'!B:B, 0))</f>
        <v/>
      </c>
      <c r="G1131">
        <f>IF(ISBLANK(A1131), "", XLOOKUP(C1131, 'Fees &amp; Postage Table'!A:A, 'Fees &amp; Postage Table'!D:D, 0))</f>
        <v/>
      </c>
      <c r="H1131">
        <f>IF(ISBLANK(A1131), "", B1131 - E1131 - F1131 - G1131)</f>
        <v/>
      </c>
      <c r="I1131">
        <f>IF(ISBLANK(A1131), "", D1131 - XLOOKUP(A1131, Inventory!A:A, Inventory!H:H, TODAY()))</f>
        <v/>
      </c>
    </row>
    <row r="1132">
      <c r="E1132">
        <f>IF(ISBLANK(A1132), "", XLOOKUP(A1132, Inventory!A:A, Inventory!E:E, 0))</f>
        <v/>
      </c>
      <c r="F1132">
        <f>IF(ISBLANK(A1132), "", (B1132 * XLOOKUP(C1132, 'Fees &amp; Postage Table'!A:A, 'Fees &amp; Postage Table'!C:C, 0)) + XLOOKUP(C1132, 'Fees &amp; Postage Table'!A:A, 'Fees &amp; Postage Table'!B:B, 0))</f>
        <v/>
      </c>
      <c r="G1132">
        <f>IF(ISBLANK(A1132), "", XLOOKUP(C1132, 'Fees &amp; Postage Table'!A:A, 'Fees &amp; Postage Table'!D:D, 0))</f>
        <v/>
      </c>
      <c r="H1132">
        <f>IF(ISBLANK(A1132), "", B1132 - E1132 - F1132 - G1132)</f>
        <v/>
      </c>
      <c r="I1132">
        <f>IF(ISBLANK(A1132), "", D1132 - XLOOKUP(A1132, Inventory!A:A, Inventory!H:H, TODAY()))</f>
        <v/>
      </c>
    </row>
    <row r="1133">
      <c r="E1133">
        <f>IF(ISBLANK(A1133), "", XLOOKUP(A1133, Inventory!A:A, Inventory!E:E, 0))</f>
        <v/>
      </c>
      <c r="F1133">
        <f>IF(ISBLANK(A1133), "", (B1133 * XLOOKUP(C1133, 'Fees &amp; Postage Table'!A:A, 'Fees &amp; Postage Table'!C:C, 0)) + XLOOKUP(C1133, 'Fees &amp; Postage Table'!A:A, 'Fees &amp; Postage Table'!B:B, 0))</f>
        <v/>
      </c>
      <c r="G1133">
        <f>IF(ISBLANK(A1133), "", XLOOKUP(C1133, 'Fees &amp; Postage Table'!A:A, 'Fees &amp; Postage Table'!D:D, 0))</f>
        <v/>
      </c>
      <c r="H1133">
        <f>IF(ISBLANK(A1133), "", B1133 - E1133 - F1133 - G1133)</f>
        <v/>
      </c>
      <c r="I1133">
        <f>IF(ISBLANK(A1133), "", D1133 - XLOOKUP(A1133, Inventory!A:A, Inventory!H:H, TODAY()))</f>
        <v/>
      </c>
    </row>
    <row r="1134">
      <c r="E1134">
        <f>IF(ISBLANK(A1134), "", XLOOKUP(A1134, Inventory!A:A, Inventory!E:E, 0))</f>
        <v/>
      </c>
      <c r="F1134">
        <f>IF(ISBLANK(A1134), "", (B1134 * XLOOKUP(C1134, 'Fees &amp; Postage Table'!A:A, 'Fees &amp; Postage Table'!C:C, 0)) + XLOOKUP(C1134, 'Fees &amp; Postage Table'!A:A, 'Fees &amp; Postage Table'!B:B, 0))</f>
        <v/>
      </c>
      <c r="G1134">
        <f>IF(ISBLANK(A1134), "", XLOOKUP(C1134, 'Fees &amp; Postage Table'!A:A, 'Fees &amp; Postage Table'!D:D, 0))</f>
        <v/>
      </c>
      <c r="H1134">
        <f>IF(ISBLANK(A1134), "", B1134 - E1134 - F1134 - G1134)</f>
        <v/>
      </c>
      <c r="I1134">
        <f>IF(ISBLANK(A1134), "", D1134 - XLOOKUP(A1134, Inventory!A:A, Inventory!H:H, TODAY()))</f>
        <v/>
      </c>
    </row>
    <row r="1135">
      <c r="E1135">
        <f>IF(ISBLANK(A1135), "", XLOOKUP(A1135, Inventory!A:A, Inventory!E:E, 0))</f>
        <v/>
      </c>
      <c r="F1135">
        <f>IF(ISBLANK(A1135), "", (B1135 * XLOOKUP(C1135, 'Fees &amp; Postage Table'!A:A, 'Fees &amp; Postage Table'!C:C, 0)) + XLOOKUP(C1135, 'Fees &amp; Postage Table'!A:A, 'Fees &amp; Postage Table'!B:B, 0))</f>
        <v/>
      </c>
      <c r="G1135">
        <f>IF(ISBLANK(A1135), "", XLOOKUP(C1135, 'Fees &amp; Postage Table'!A:A, 'Fees &amp; Postage Table'!D:D, 0))</f>
        <v/>
      </c>
      <c r="H1135">
        <f>IF(ISBLANK(A1135), "", B1135 - E1135 - F1135 - G1135)</f>
        <v/>
      </c>
      <c r="I1135">
        <f>IF(ISBLANK(A1135), "", D1135 - XLOOKUP(A1135, Inventory!A:A, Inventory!H:H, TODAY()))</f>
        <v/>
      </c>
    </row>
    <row r="1136">
      <c r="E1136">
        <f>IF(ISBLANK(A1136), "", XLOOKUP(A1136, Inventory!A:A, Inventory!E:E, 0))</f>
        <v/>
      </c>
      <c r="F1136">
        <f>IF(ISBLANK(A1136), "", (B1136 * XLOOKUP(C1136, 'Fees &amp; Postage Table'!A:A, 'Fees &amp; Postage Table'!C:C, 0)) + XLOOKUP(C1136, 'Fees &amp; Postage Table'!A:A, 'Fees &amp; Postage Table'!B:B, 0))</f>
        <v/>
      </c>
      <c r="G1136">
        <f>IF(ISBLANK(A1136), "", XLOOKUP(C1136, 'Fees &amp; Postage Table'!A:A, 'Fees &amp; Postage Table'!D:D, 0))</f>
        <v/>
      </c>
      <c r="H1136">
        <f>IF(ISBLANK(A1136), "", B1136 - E1136 - F1136 - G1136)</f>
        <v/>
      </c>
      <c r="I1136">
        <f>IF(ISBLANK(A1136), "", D1136 - XLOOKUP(A1136, Inventory!A:A, Inventory!H:H, TODAY()))</f>
        <v/>
      </c>
    </row>
    <row r="1137">
      <c r="E1137">
        <f>IF(ISBLANK(A1137), "", XLOOKUP(A1137, Inventory!A:A, Inventory!E:E, 0))</f>
        <v/>
      </c>
      <c r="F1137">
        <f>IF(ISBLANK(A1137), "", (B1137 * XLOOKUP(C1137, 'Fees &amp; Postage Table'!A:A, 'Fees &amp; Postage Table'!C:C, 0)) + XLOOKUP(C1137, 'Fees &amp; Postage Table'!A:A, 'Fees &amp; Postage Table'!B:B, 0))</f>
        <v/>
      </c>
      <c r="G1137">
        <f>IF(ISBLANK(A1137), "", XLOOKUP(C1137, 'Fees &amp; Postage Table'!A:A, 'Fees &amp; Postage Table'!D:D, 0))</f>
        <v/>
      </c>
      <c r="H1137">
        <f>IF(ISBLANK(A1137), "", B1137 - E1137 - F1137 - G1137)</f>
        <v/>
      </c>
      <c r="I1137">
        <f>IF(ISBLANK(A1137), "", D1137 - XLOOKUP(A1137, Inventory!A:A, Inventory!H:H, TODAY()))</f>
        <v/>
      </c>
    </row>
    <row r="1138">
      <c r="E1138">
        <f>IF(ISBLANK(A1138), "", XLOOKUP(A1138, Inventory!A:A, Inventory!E:E, 0))</f>
        <v/>
      </c>
      <c r="F1138">
        <f>IF(ISBLANK(A1138), "", (B1138 * XLOOKUP(C1138, 'Fees &amp; Postage Table'!A:A, 'Fees &amp; Postage Table'!C:C, 0)) + XLOOKUP(C1138, 'Fees &amp; Postage Table'!A:A, 'Fees &amp; Postage Table'!B:B, 0))</f>
        <v/>
      </c>
      <c r="G1138">
        <f>IF(ISBLANK(A1138), "", XLOOKUP(C1138, 'Fees &amp; Postage Table'!A:A, 'Fees &amp; Postage Table'!D:D, 0))</f>
        <v/>
      </c>
      <c r="H1138">
        <f>IF(ISBLANK(A1138), "", B1138 - E1138 - F1138 - G1138)</f>
        <v/>
      </c>
      <c r="I1138">
        <f>IF(ISBLANK(A1138), "", D1138 - XLOOKUP(A1138, Inventory!A:A, Inventory!H:H, TODAY()))</f>
        <v/>
      </c>
    </row>
    <row r="1139">
      <c r="E1139">
        <f>IF(ISBLANK(A1139), "", XLOOKUP(A1139, Inventory!A:A, Inventory!E:E, 0))</f>
        <v/>
      </c>
      <c r="F1139">
        <f>IF(ISBLANK(A1139), "", (B1139 * XLOOKUP(C1139, 'Fees &amp; Postage Table'!A:A, 'Fees &amp; Postage Table'!C:C, 0)) + XLOOKUP(C1139, 'Fees &amp; Postage Table'!A:A, 'Fees &amp; Postage Table'!B:B, 0))</f>
        <v/>
      </c>
      <c r="G1139">
        <f>IF(ISBLANK(A1139), "", XLOOKUP(C1139, 'Fees &amp; Postage Table'!A:A, 'Fees &amp; Postage Table'!D:D, 0))</f>
        <v/>
      </c>
      <c r="H1139">
        <f>IF(ISBLANK(A1139), "", B1139 - E1139 - F1139 - G1139)</f>
        <v/>
      </c>
      <c r="I1139">
        <f>IF(ISBLANK(A1139), "", D1139 - XLOOKUP(A1139, Inventory!A:A, Inventory!H:H, TODAY()))</f>
        <v/>
      </c>
    </row>
    <row r="1140">
      <c r="E1140">
        <f>IF(ISBLANK(A1140), "", XLOOKUP(A1140, Inventory!A:A, Inventory!E:E, 0))</f>
        <v/>
      </c>
      <c r="F1140">
        <f>IF(ISBLANK(A1140), "", (B1140 * XLOOKUP(C1140, 'Fees &amp; Postage Table'!A:A, 'Fees &amp; Postage Table'!C:C, 0)) + XLOOKUP(C1140, 'Fees &amp; Postage Table'!A:A, 'Fees &amp; Postage Table'!B:B, 0))</f>
        <v/>
      </c>
      <c r="G1140">
        <f>IF(ISBLANK(A1140), "", XLOOKUP(C1140, 'Fees &amp; Postage Table'!A:A, 'Fees &amp; Postage Table'!D:D, 0))</f>
        <v/>
      </c>
      <c r="H1140">
        <f>IF(ISBLANK(A1140), "", B1140 - E1140 - F1140 - G1140)</f>
        <v/>
      </c>
      <c r="I1140">
        <f>IF(ISBLANK(A1140), "", D1140 - XLOOKUP(A1140, Inventory!A:A, Inventory!H:H, TODAY()))</f>
        <v/>
      </c>
    </row>
    <row r="1141">
      <c r="E1141">
        <f>IF(ISBLANK(A1141), "", XLOOKUP(A1141, Inventory!A:A, Inventory!E:E, 0))</f>
        <v/>
      </c>
      <c r="F1141">
        <f>IF(ISBLANK(A1141), "", (B1141 * XLOOKUP(C1141, 'Fees &amp; Postage Table'!A:A, 'Fees &amp; Postage Table'!C:C, 0)) + XLOOKUP(C1141, 'Fees &amp; Postage Table'!A:A, 'Fees &amp; Postage Table'!B:B, 0))</f>
        <v/>
      </c>
      <c r="G1141">
        <f>IF(ISBLANK(A1141), "", XLOOKUP(C1141, 'Fees &amp; Postage Table'!A:A, 'Fees &amp; Postage Table'!D:D, 0))</f>
        <v/>
      </c>
      <c r="H1141">
        <f>IF(ISBLANK(A1141), "", B1141 - E1141 - F1141 - G1141)</f>
        <v/>
      </c>
      <c r="I1141">
        <f>IF(ISBLANK(A1141), "", D1141 - XLOOKUP(A1141, Inventory!A:A, Inventory!H:H, TODAY()))</f>
        <v/>
      </c>
    </row>
    <row r="1142">
      <c r="E1142">
        <f>IF(ISBLANK(A1142), "", XLOOKUP(A1142, Inventory!A:A, Inventory!E:E, 0))</f>
        <v/>
      </c>
      <c r="F1142">
        <f>IF(ISBLANK(A1142), "", (B1142 * XLOOKUP(C1142, 'Fees &amp; Postage Table'!A:A, 'Fees &amp; Postage Table'!C:C, 0)) + XLOOKUP(C1142, 'Fees &amp; Postage Table'!A:A, 'Fees &amp; Postage Table'!B:B, 0))</f>
        <v/>
      </c>
      <c r="G1142">
        <f>IF(ISBLANK(A1142), "", XLOOKUP(C1142, 'Fees &amp; Postage Table'!A:A, 'Fees &amp; Postage Table'!D:D, 0))</f>
        <v/>
      </c>
      <c r="H1142">
        <f>IF(ISBLANK(A1142), "", B1142 - E1142 - F1142 - G1142)</f>
        <v/>
      </c>
      <c r="I1142">
        <f>IF(ISBLANK(A1142), "", D1142 - XLOOKUP(A1142, Inventory!A:A, Inventory!H:H, TODAY()))</f>
        <v/>
      </c>
    </row>
    <row r="1143">
      <c r="E1143">
        <f>IF(ISBLANK(A1143), "", XLOOKUP(A1143, Inventory!A:A, Inventory!E:E, 0))</f>
        <v/>
      </c>
      <c r="F1143">
        <f>IF(ISBLANK(A1143), "", (B1143 * XLOOKUP(C1143, 'Fees &amp; Postage Table'!A:A, 'Fees &amp; Postage Table'!C:C, 0)) + XLOOKUP(C1143, 'Fees &amp; Postage Table'!A:A, 'Fees &amp; Postage Table'!B:B, 0))</f>
        <v/>
      </c>
      <c r="G1143">
        <f>IF(ISBLANK(A1143), "", XLOOKUP(C1143, 'Fees &amp; Postage Table'!A:A, 'Fees &amp; Postage Table'!D:D, 0))</f>
        <v/>
      </c>
      <c r="H1143">
        <f>IF(ISBLANK(A1143), "", B1143 - E1143 - F1143 - G1143)</f>
        <v/>
      </c>
      <c r="I1143">
        <f>IF(ISBLANK(A1143), "", D1143 - XLOOKUP(A1143, Inventory!A:A, Inventory!H:H, TODAY()))</f>
        <v/>
      </c>
    </row>
    <row r="1144">
      <c r="E1144">
        <f>IF(ISBLANK(A1144), "", XLOOKUP(A1144, Inventory!A:A, Inventory!E:E, 0))</f>
        <v/>
      </c>
      <c r="F1144">
        <f>IF(ISBLANK(A1144), "", (B1144 * XLOOKUP(C1144, 'Fees &amp; Postage Table'!A:A, 'Fees &amp; Postage Table'!C:C, 0)) + XLOOKUP(C1144, 'Fees &amp; Postage Table'!A:A, 'Fees &amp; Postage Table'!B:B, 0))</f>
        <v/>
      </c>
      <c r="G1144">
        <f>IF(ISBLANK(A1144), "", XLOOKUP(C1144, 'Fees &amp; Postage Table'!A:A, 'Fees &amp; Postage Table'!D:D, 0))</f>
        <v/>
      </c>
      <c r="H1144">
        <f>IF(ISBLANK(A1144), "", B1144 - E1144 - F1144 - G1144)</f>
        <v/>
      </c>
      <c r="I1144">
        <f>IF(ISBLANK(A1144), "", D1144 - XLOOKUP(A1144, Inventory!A:A, Inventory!H:H, TODAY()))</f>
        <v/>
      </c>
    </row>
    <row r="1145">
      <c r="E1145">
        <f>IF(ISBLANK(A1145), "", XLOOKUP(A1145, Inventory!A:A, Inventory!E:E, 0))</f>
        <v/>
      </c>
      <c r="F1145">
        <f>IF(ISBLANK(A1145), "", (B1145 * XLOOKUP(C1145, 'Fees &amp; Postage Table'!A:A, 'Fees &amp; Postage Table'!C:C, 0)) + XLOOKUP(C1145, 'Fees &amp; Postage Table'!A:A, 'Fees &amp; Postage Table'!B:B, 0))</f>
        <v/>
      </c>
      <c r="G1145">
        <f>IF(ISBLANK(A1145), "", XLOOKUP(C1145, 'Fees &amp; Postage Table'!A:A, 'Fees &amp; Postage Table'!D:D, 0))</f>
        <v/>
      </c>
      <c r="H1145">
        <f>IF(ISBLANK(A1145), "", B1145 - E1145 - F1145 - G1145)</f>
        <v/>
      </c>
      <c r="I1145">
        <f>IF(ISBLANK(A1145), "", D1145 - XLOOKUP(A1145, Inventory!A:A, Inventory!H:H, TODAY()))</f>
        <v/>
      </c>
    </row>
    <row r="1146">
      <c r="E1146">
        <f>IF(ISBLANK(A1146), "", XLOOKUP(A1146, Inventory!A:A, Inventory!E:E, 0))</f>
        <v/>
      </c>
      <c r="F1146">
        <f>IF(ISBLANK(A1146), "", (B1146 * XLOOKUP(C1146, 'Fees &amp; Postage Table'!A:A, 'Fees &amp; Postage Table'!C:C, 0)) + XLOOKUP(C1146, 'Fees &amp; Postage Table'!A:A, 'Fees &amp; Postage Table'!B:B, 0))</f>
        <v/>
      </c>
      <c r="G1146">
        <f>IF(ISBLANK(A1146), "", XLOOKUP(C1146, 'Fees &amp; Postage Table'!A:A, 'Fees &amp; Postage Table'!D:D, 0))</f>
        <v/>
      </c>
      <c r="H1146">
        <f>IF(ISBLANK(A1146), "", B1146 - E1146 - F1146 - G1146)</f>
        <v/>
      </c>
      <c r="I1146">
        <f>IF(ISBLANK(A1146), "", D1146 - XLOOKUP(A1146, Inventory!A:A, Inventory!H:H, TODAY()))</f>
        <v/>
      </c>
    </row>
    <row r="1147">
      <c r="E1147">
        <f>IF(ISBLANK(A1147), "", XLOOKUP(A1147, Inventory!A:A, Inventory!E:E, 0))</f>
        <v/>
      </c>
      <c r="F1147">
        <f>IF(ISBLANK(A1147), "", (B1147 * XLOOKUP(C1147, 'Fees &amp; Postage Table'!A:A, 'Fees &amp; Postage Table'!C:C, 0)) + XLOOKUP(C1147, 'Fees &amp; Postage Table'!A:A, 'Fees &amp; Postage Table'!B:B, 0))</f>
        <v/>
      </c>
      <c r="G1147">
        <f>IF(ISBLANK(A1147), "", XLOOKUP(C1147, 'Fees &amp; Postage Table'!A:A, 'Fees &amp; Postage Table'!D:D, 0))</f>
        <v/>
      </c>
      <c r="H1147">
        <f>IF(ISBLANK(A1147), "", B1147 - E1147 - F1147 - G1147)</f>
        <v/>
      </c>
      <c r="I1147">
        <f>IF(ISBLANK(A1147), "", D1147 - XLOOKUP(A1147, Inventory!A:A, Inventory!H:H, TODAY()))</f>
        <v/>
      </c>
    </row>
    <row r="1148">
      <c r="E1148">
        <f>IF(ISBLANK(A1148), "", XLOOKUP(A1148, Inventory!A:A, Inventory!E:E, 0))</f>
        <v/>
      </c>
      <c r="F1148">
        <f>IF(ISBLANK(A1148), "", (B1148 * XLOOKUP(C1148, 'Fees &amp; Postage Table'!A:A, 'Fees &amp; Postage Table'!C:C, 0)) + XLOOKUP(C1148, 'Fees &amp; Postage Table'!A:A, 'Fees &amp; Postage Table'!B:B, 0))</f>
        <v/>
      </c>
      <c r="G1148">
        <f>IF(ISBLANK(A1148), "", XLOOKUP(C1148, 'Fees &amp; Postage Table'!A:A, 'Fees &amp; Postage Table'!D:D, 0))</f>
        <v/>
      </c>
      <c r="H1148">
        <f>IF(ISBLANK(A1148), "", B1148 - E1148 - F1148 - G1148)</f>
        <v/>
      </c>
      <c r="I1148">
        <f>IF(ISBLANK(A1148), "", D1148 - XLOOKUP(A1148, Inventory!A:A, Inventory!H:H, TODAY()))</f>
        <v/>
      </c>
    </row>
    <row r="1149">
      <c r="E1149">
        <f>IF(ISBLANK(A1149), "", XLOOKUP(A1149, Inventory!A:A, Inventory!E:E, 0))</f>
        <v/>
      </c>
      <c r="F1149">
        <f>IF(ISBLANK(A1149), "", (B1149 * XLOOKUP(C1149, 'Fees &amp; Postage Table'!A:A, 'Fees &amp; Postage Table'!C:C, 0)) + XLOOKUP(C1149, 'Fees &amp; Postage Table'!A:A, 'Fees &amp; Postage Table'!B:B, 0))</f>
        <v/>
      </c>
      <c r="G1149">
        <f>IF(ISBLANK(A1149), "", XLOOKUP(C1149, 'Fees &amp; Postage Table'!A:A, 'Fees &amp; Postage Table'!D:D, 0))</f>
        <v/>
      </c>
      <c r="H1149">
        <f>IF(ISBLANK(A1149), "", B1149 - E1149 - F1149 - G1149)</f>
        <v/>
      </c>
      <c r="I1149">
        <f>IF(ISBLANK(A1149), "", D1149 - XLOOKUP(A1149, Inventory!A:A, Inventory!H:H, TODAY()))</f>
        <v/>
      </c>
    </row>
    <row r="1150">
      <c r="E1150">
        <f>IF(ISBLANK(A1150), "", XLOOKUP(A1150, Inventory!A:A, Inventory!E:E, 0))</f>
        <v/>
      </c>
      <c r="F1150">
        <f>IF(ISBLANK(A1150), "", (B1150 * XLOOKUP(C1150, 'Fees &amp; Postage Table'!A:A, 'Fees &amp; Postage Table'!C:C, 0)) + XLOOKUP(C1150, 'Fees &amp; Postage Table'!A:A, 'Fees &amp; Postage Table'!B:B, 0))</f>
        <v/>
      </c>
      <c r="G1150">
        <f>IF(ISBLANK(A1150), "", XLOOKUP(C1150, 'Fees &amp; Postage Table'!A:A, 'Fees &amp; Postage Table'!D:D, 0))</f>
        <v/>
      </c>
      <c r="H1150">
        <f>IF(ISBLANK(A1150), "", B1150 - E1150 - F1150 - G1150)</f>
        <v/>
      </c>
      <c r="I1150">
        <f>IF(ISBLANK(A1150), "", D1150 - XLOOKUP(A1150, Inventory!A:A, Inventory!H:H, TODAY()))</f>
        <v/>
      </c>
    </row>
    <row r="1151">
      <c r="E1151">
        <f>IF(ISBLANK(A1151), "", XLOOKUP(A1151, Inventory!A:A, Inventory!E:E, 0))</f>
        <v/>
      </c>
      <c r="F1151">
        <f>IF(ISBLANK(A1151), "", (B1151 * XLOOKUP(C1151, 'Fees &amp; Postage Table'!A:A, 'Fees &amp; Postage Table'!C:C, 0)) + XLOOKUP(C1151, 'Fees &amp; Postage Table'!A:A, 'Fees &amp; Postage Table'!B:B, 0))</f>
        <v/>
      </c>
      <c r="G1151">
        <f>IF(ISBLANK(A1151), "", XLOOKUP(C1151, 'Fees &amp; Postage Table'!A:A, 'Fees &amp; Postage Table'!D:D, 0))</f>
        <v/>
      </c>
      <c r="H1151">
        <f>IF(ISBLANK(A1151), "", B1151 - E1151 - F1151 - G1151)</f>
        <v/>
      </c>
      <c r="I1151">
        <f>IF(ISBLANK(A1151), "", D1151 - XLOOKUP(A1151, Inventory!A:A, Inventory!H:H, TODAY()))</f>
        <v/>
      </c>
    </row>
    <row r="1152">
      <c r="E1152">
        <f>IF(ISBLANK(A1152), "", XLOOKUP(A1152, Inventory!A:A, Inventory!E:E, 0))</f>
        <v/>
      </c>
      <c r="F1152">
        <f>IF(ISBLANK(A1152), "", (B1152 * XLOOKUP(C1152, 'Fees &amp; Postage Table'!A:A, 'Fees &amp; Postage Table'!C:C, 0)) + XLOOKUP(C1152, 'Fees &amp; Postage Table'!A:A, 'Fees &amp; Postage Table'!B:B, 0))</f>
        <v/>
      </c>
      <c r="G1152">
        <f>IF(ISBLANK(A1152), "", XLOOKUP(C1152, 'Fees &amp; Postage Table'!A:A, 'Fees &amp; Postage Table'!D:D, 0))</f>
        <v/>
      </c>
      <c r="H1152">
        <f>IF(ISBLANK(A1152), "", B1152 - E1152 - F1152 - G1152)</f>
        <v/>
      </c>
      <c r="I1152">
        <f>IF(ISBLANK(A1152), "", D1152 - XLOOKUP(A1152, Inventory!A:A, Inventory!H:H, TODAY()))</f>
        <v/>
      </c>
    </row>
    <row r="1153">
      <c r="E1153">
        <f>IF(ISBLANK(A1153), "", XLOOKUP(A1153, Inventory!A:A, Inventory!E:E, 0))</f>
        <v/>
      </c>
      <c r="F1153">
        <f>IF(ISBLANK(A1153), "", (B1153 * XLOOKUP(C1153, 'Fees &amp; Postage Table'!A:A, 'Fees &amp; Postage Table'!C:C, 0)) + XLOOKUP(C1153, 'Fees &amp; Postage Table'!A:A, 'Fees &amp; Postage Table'!B:B, 0))</f>
        <v/>
      </c>
      <c r="G1153">
        <f>IF(ISBLANK(A1153), "", XLOOKUP(C1153, 'Fees &amp; Postage Table'!A:A, 'Fees &amp; Postage Table'!D:D, 0))</f>
        <v/>
      </c>
      <c r="H1153">
        <f>IF(ISBLANK(A1153), "", B1153 - E1153 - F1153 - G1153)</f>
        <v/>
      </c>
      <c r="I1153">
        <f>IF(ISBLANK(A1153), "", D1153 - XLOOKUP(A1153, Inventory!A:A, Inventory!H:H, TODAY()))</f>
        <v/>
      </c>
    </row>
    <row r="1154">
      <c r="E1154">
        <f>IF(ISBLANK(A1154), "", XLOOKUP(A1154, Inventory!A:A, Inventory!E:E, 0))</f>
        <v/>
      </c>
      <c r="F1154">
        <f>IF(ISBLANK(A1154), "", (B1154 * XLOOKUP(C1154, 'Fees &amp; Postage Table'!A:A, 'Fees &amp; Postage Table'!C:C, 0)) + XLOOKUP(C1154, 'Fees &amp; Postage Table'!A:A, 'Fees &amp; Postage Table'!B:B, 0))</f>
        <v/>
      </c>
      <c r="G1154">
        <f>IF(ISBLANK(A1154), "", XLOOKUP(C1154, 'Fees &amp; Postage Table'!A:A, 'Fees &amp; Postage Table'!D:D, 0))</f>
        <v/>
      </c>
      <c r="H1154">
        <f>IF(ISBLANK(A1154), "", B1154 - E1154 - F1154 - G1154)</f>
        <v/>
      </c>
      <c r="I1154">
        <f>IF(ISBLANK(A1154), "", D1154 - XLOOKUP(A1154, Inventory!A:A, Inventory!H:H, TODAY()))</f>
        <v/>
      </c>
    </row>
    <row r="1155">
      <c r="E1155">
        <f>IF(ISBLANK(A1155), "", XLOOKUP(A1155, Inventory!A:A, Inventory!E:E, 0))</f>
        <v/>
      </c>
      <c r="F1155">
        <f>IF(ISBLANK(A1155), "", (B1155 * XLOOKUP(C1155, 'Fees &amp; Postage Table'!A:A, 'Fees &amp; Postage Table'!C:C, 0)) + XLOOKUP(C1155, 'Fees &amp; Postage Table'!A:A, 'Fees &amp; Postage Table'!B:B, 0))</f>
        <v/>
      </c>
      <c r="G1155">
        <f>IF(ISBLANK(A1155), "", XLOOKUP(C1155, 'Fees &amp; Postage Table'!A:A, 'Fees &amp; Postage Table'!D:D, 0))</f>
        <v/>
      </c>
      <c r="H1155">
        <f>IF(ISBLANK(A1155), "", B1155 - E1155 - F1155 - G1155)</f>
        <v/>
      </c>
      <c r="I1155">
        <f>IF(ISBLANK(A1155), "", D1155 - XLOOKUP(A1155, Inventory!A:A, Inventory!H:H, TODAY()))</f>
        <v/>
      </c>
    </row>
    <row r="1156">
      <c r="E1156">
        <f>IF(ISBLANK(A1156), "", XLOOKUP(A1156, Inventory!A:A, Inventory!E:E, 0))</f>
        <v/>
      </c>
      <c r="F1156">
        <f>IF(ISBLANK(A1156), "", (B1156 * XLOOKUP(C1156, 'Fees &amp; Postage Table'!A:A, 'Fees &amp; Postage Table'!C:C, 0)) + XLOOKUP(C1156, 'Fees &amp; Postage Table'!A:A, 'Fees &amp; Postage Table'!B:B, 0))</f>
        <v/>
      </c>
      <c r="G1156">
        <f>IF(ISBLANK(A1156), "", XLOOKUP(C1156, 'Fees &amp; Postage Table'!A:A, 'Fees &amp; Postage Table'!D:D, 0))</f>
        <v/>
      </c>
      <c r="H1156">
        <f>IF(ISBLANK(A1156), "", B1156 - E1156 - F1156 - G1156)</f>
        <v/>
      </c>
      <c r="I1156">
        <f>IF(ISBLANK(A1156), "", D1156 - XLOOKUP(A1156, Inventory!A:A, Inventory!H:H, TODAY()))</f>
        <v/>
      </c>
    </row>
    <row r="1157">
      <c r="E1157">
        <f>IF(ISBLANK(A1157), "", XLOOKUP(A1157, Inventory!A:A, Inventory!E:E, 0))</f>
        <v/>
      </c>
      <c r="F1157">
        <f>IF(ISBLANK(A1157), "", (B1157 * XLOOKUP(C1157, 'Fees &amp; Postage Table'!A:A, 'Fees &amp; Postage Table'!C:C, 0)) + XLOOKUP(C1157, 'Fees &amp; Postage Table'!A:A, 'Fees &amp; Postage Table'!B:B, 0))</f>
        <v/>
      </c>
      <c r="G1157">
        <f>IF(ISBLANK(A1157), "", XLOOKUP(C1157, 'Fees &amp; Postage Table'!A:A, 'Fees &amp; Postage Table'!D:D, 0))</f>
        <v/>
      </c>
      <c r="H1157">
        <f>IF(ISBLANK(A1157), "", B1157 - E1157 - F1157 - G1157)</f>
        <v/>
      </c>
      <c r="I1157">
        <f>IF(ISBLANK(A1157), "", D1157 - XLOOKUP(A1157, Inventory!A:A, Inventory!H:H, TODAY()))</f>
        <v/>
      </c>
    </row>
    <row r="1158">
      <c r="E1158">
        <f>IF(ISBLANK(A1158), "", XLOOKUP(A1158, Inventory!A:A, Inventory!E:E, 0))</f>
        <v/>
      </c>
      <c r="F1158">
        <f>IF(ISBLANK(A1158), "", (B1158 * XLOOKUP(C1158, 'Fees &amp; Postage Table'!A:A, 'Fees &amp; Postage Table'!C:C, 0)) + XLOOKUP(C1158, 'Fees &amp; Postage Table'!A:A, 'Fees &amp; Postage Table'!B:B, 0))</f>
        <v/>
      </c>
      <c r="G1158">
        <f>IF(ISBLANK(A1158), "", XLOOKUP(C1158, 'Fees &amp; Postage Table'!A:A, 'Fees &amp; Postage Table'!D:D, 0))</f>
        <v/>
      </c>
      <c r="H1158">
        <f>IF(ISBLANK(A1158), "", B1158 - E1158 - F1158 - G1158)</f>
        <v/>
      </c>
      <c r="I1158">
        <f>IF(ISBLANK(A1158), "", D1158 - XLOOKUP(A1158, Inventory!A:A, Inventory!H:H, TODAY()))</f>
        <v/>
      </c>
    </row>
    <row r="1159">
      <c r="E1159">
        <f>IF(ISBLANK(A1159), "", XLOOKUP(A1159, Inventory!A:A, Inventory!E:E, 0))</f>
        <v/>
      </c>
      <c r="F1159">
        <f>IF(ISBLANK(A1159), "", (B1159 * XLOOKUP(C1159, 'Fees &amp; Postage Table'!A:A, 'Fees &amp; Postage Table'!C:C, 0)) + XLOOKUP(C1159, 'Fees &amp; Postage Table'!A:A, 'Fees &amp; Postage Table'!B:B, 0))</f>
        <v/>
      </c>
      <c r="G1159">
        <f>IF(ISBLANK(A1159), "", XLOOKUP(C1159, 'Fees &amp; Postage Table'!A:A, 'Fees &amp; Postage Table'!D:D, 0))</f>
        <v/>
      </c>
      <c r="H1159">
        <f>IF(ISBLANK(A1159), "", B1159 - E1159 - F1159 - G1159)</f>
        <v/>
      </c>
      <c r="I1159">
        <f>IF(ISBLANK(A1159), "", D1159 - XLOOKUP(A1159, Inventory!A:A, Inventory!H:H, TODAY()))</f>
        <v/>
      </c>
    </row>
    <row r="1160">
      <c r="E1160">
        <f>IF(ISBLANK(A1160), "", XLOOKUP(A1160, Inventory!A:A, Inventory!E:E, 0))</f>
        <v/>
      </c>
      <c r="F1160">
        <f>IF(ISBLANK(A1160), "", (B1160 * XLOOKUP(C1160, 'Fees &amp; Postage Table'!A:A, 'Fees &amp; Postage Table'!C:C, 0)) + XLOOKUP(C1160, 'Fees &amp; Postage Table'!A:A, 'Fees &amp; Postage Table'!B:B, 0))</f>
        <v/>
      </c>
      <c r="G1160">
        <f>IF(ISBLANK(A1160), "", XLOOKUP(C1160, 'Fees &amp; Postage Table'!A:A, 'Fees &amp; Postage Table'!D:D, 0))</f>
        <v/>
      </c>
      <c r="H1160">
        <f>IF(ISBLANK(A1160), "", B1160 - E1160 - F1160 - G1160)</f>
        <v/>
      </c>
      <c r="I1160">
        <f>IF(ISBLANK(A1160), "", D1160 - XLOOKUP(A1160, Inventory!A:A, Inventory!H:H, TODAY()))</f>
        <v/>
      </c>
    </row>
    <row r="1161">
      <c r="E1161">
        <f>IF(ISBLANK(A1161), "", XLOOKUP(A1161, Inventory!A:A, Inventory!E:E, 0))</f>
        <v/>
      </c>
      <c r="F1161">
        <f>IF(ISBLANK(A1161), "", (B1161 * XLOOKUP(C1161, 'Fees &amp; Postage Table'!A:A, 'Fees &amp; Postage Table'!C:C, 0)) + XLOOKUP(C1161, 'Fees &amp; Postage Table'!A:A, 'Fees &amp; Postage Table'!B:B, 0))</f>
        <v/>
      </c>
      <c r="G1161">
        <f>IF(ISBLANK(A1161), "", XLOOKUP(C1161, 'Fees &amp; Postage Table'!A:A, 'Fees &amp; Postage Table'!D:D, 0))</f>
        <v/>
      </c>
      <c r="H1161">
        <f>IF(ISBLANK(A1161), "", B1161 - E1161 - F1161 - G1161)</f>
        <v/>
      </c>
      <c r="I1161">
        <f>IF(ISBLANK(A1161), "", D1161 - XLOOKUP(A1161, Inventory!A:A, Inventory!H:H, TODAY()))</f>
        <v/>
      </c>
    </row>
    <row r="1162">
      <c r="E1162">
        <f>IF(ISBLANK(A1162), "", XLOOKUP(A1162, Inventory!A:A, Inventory!E:E, 0))</f>
        <v/>
      </c>
      <c r="F1162">
        <f>IF(ISBLANK(A1162), "", (B1162 * XLOOKUP(C1162, 'Fees &amp; Postage Table'!A:A, 'Fees &amp; Postage Table'!C:C, 0)) + XLOOKUP(C1162, 'Fees &amp; Postage Table'!A:A, 'Fees &amp; Postage Table'!B:B, 0))</f>
        <v/>
      </c>
      <c r="G1162">
        <f>IF(ISBLANK(A1162), "", XLOOKUP(C1162, 'Fees &amp; Postage Table'!A:A, 'Fees &amp; Postage Table'!D:D, 0))</f>
        <v/>
      </c>
      <c r="H1162">
        <f>IF(ISBLANK(A1162), "", B1162 - E1162 - F1162 - G1162)</f>
        <v/>
      </c>
      <c r="I1162">
        <f>IF(ISBLANK(A1162), "", D1162 - XLOOKUP(A1162, Inventory!A:A, Inventory!H:H, TODAY()))</f>
        <v/>
      </c>
    </row>
    <row r="1163">
      <c r="E1163">
        <f>IF(ISBLANK(A1163), "", XLOOKUP(A1163, Inventory!A:A, Inventory!E:E, 0))</f>
        <v/>
      </c>
      <c r="F1163">
        <f>IF(ISBLANK(A1163), "", (B1163 * XLOOKUP(C1163, 'Fees &amp; Postage Table'!A:A, 'Fees &amp; Postage Table'!C:C, 0)) + XLOOKUP(C1163, 'Fees &amp; Postage Table'!A:A, 'Fees &amp; Postage Table'!B:B, 0))</f>
        <v/>
      </c>
      <c r="G1163">
        <f>IF(ISBLANK(A1163), "", XLOOKUP(C1163, 'Fees &amp; Postage Table'!A:A, 'Fees &amp; Postage Table'!D:D, 0))</f>
        <v/>
      </c>
      <c r="H1163">
        <f>IF(ISBLANK(A1163), "", B1163 - E1163 - F1163 - G1163)</f>
        <v/>
      </c>
      <c r="I1163">
        <f>IF(ISBLANK(A1163), "", D1163 - XLOOKUP(A1163, Inventory!A:A, Inventory!H:H, TODAY()))</f>
        <v/>
      </c>
    </row>
    <row r="1164">
      <c r="E1164">
        <f>IF(ISBLANK(A1164), "", XLOOKUP(A1164, Inventory!A:A, Inventory!E:E, 0))</f>
        <v/>
      </c>
      <c r="F1164">
        <f>IF(ISBLANK(A1164), "", (B1164 * XLOOKUP(C1164, 'Fees &amp; Postage Table'!A:A, 'Fees &amp; Postage Table'!C:C, 0)) + XLOOKUP(C1164, 'Fees &amp; Postage Table'!A:A, 'Fees &amp; Postage Table'!B:B, 0))</f>
        <v/>
      </c>
      <c r="G1164">
        <f>IF(ISBLANK(A1164), "", XLOOKUP(C1164, 'Fees &amp; Postage Table'!A:A, 'Fees &amp; Postage Table'!D:D, 0))</f>
        <v/>
      </c>
      <c r="H1164">
        <f>IF(ISBLANK(A1164), "", B1164 - E1164 - F1164 - G1164)</f>
        <v/>
      </c>
      <c r="I1164">
        <f>IF(ISBLANK(A1164), "", D1164 - XLOOKUP(A1164, Inventory!A:A, Inventory!H:H, TODAY()))</f>
        <v/>
      </c>
    </row>
    <row r="1165">
      <c r="E1165">
        <f>IF(ISBLANK(A1165), "", XLOOKUP(A1165, Inventory!A:A, Inventory!E:E, 0))</f>
        <v/>
      </c>
      <c r="F1165">
        <f>IF(ISBLANK(A1165), "", (B1165 * XLOOKUP(C1165, 'Fees &amp; Postage Table'!A:A, 'Fees &amp; Postage Table'!C:C, 0)) + XLOOKUP(C1165, 'Fees &amp; Postage Table'!A:A, 'Fees &amp; Postage Table'!B:B, 0))</f>
        <v/>
      </c>
      <c r="G1165">
        <f>IF(ISBLANK(A1165), "", XLOOKUP(C1165, 'Fees &amp; Postage Table'!A:A, 'Fees &amp; Postage Table'!D:D, 0))</f>
        <v/>
      </c>
      <c r="H1165">
        <f>IF(ISBLANK(A1165), "", B1165 - E1165 - F1165 - G1165)</f>
        <v/>
      </c>
      <c r="I1165">
        <f>IF(ISBLANK(A1165), "", D1165 - XLOOKUP(A1165, Inventory!A:A, Inventory!H:H, TODAY()))</f>
        <v/>
      </c>
    </row>
    <row r="1166">
      <c r="E1166">
        <f>IF(ISBLANK(A1166), "", XLOOKUP(A1166, Inventory!A:A, Inventory!E:E, 0))</f>
        <v/>
      </c>
      <c r="F1166">
        <f>IF(ISBLANK(A1166), "", (B1166 * XLOOKUP(C1166, 'Fees &amp; Postage Table'!A:A, 'Fees &amp; Postage Table'!C:C, 0)) + XLOOKUP(C1166, 'Fees &amp; Postage Table'!A:A, 'Fees &amp; Postage Table'!B:B, 0))</f>
        <v/>
      </c>
      <c r="G1166">
        <f>IF(ISBLANK(A1166), "", XLOOKUP(C1166, 'Fees &amp; Postage Table'!A:A, 'Fees &amp; Postage Table'!D:D, 0))</f>
        <v/>
      </c>
      <c r="H1166">
        <f>IF(ISBLANK(A1166), "", B1166 - E1166 - F1166 - G1166)</f>
        <v/>
      </c>
      <c r="I1166">
        <f>IF(ISBLANK(A1166), "", D1166 - XLOOKUP(A1166, Inventory!A:A, Inventory!H:H, TODAY()))</f>
        <v/>
      </c>
    </row>
    <row r="1167">
      <c r="E1167">
        <f>IF(ISBLANK(A1167), "", XLOOKUP(A1167, Inventory!A:A, Inventory!E:E, 0))</f>
        <v/>
      </c>
      <c r="F1167">
        <f>IF(ISBLANK(A1167), "", (B1167 * XLOOKUP(C1167, 'Fees &amp; Postage Table'!A:A, 'Fees &amp; Postage Table'!C:C, 0)) + XLOOKUP(C1167, 'Fees &amp; Postage Table'!A:A, 'Fees &amp; Postage Table'!B:B, 0))</f>
        <v/>
      </c>
      <c r="G1167">
        <f>IF(ISBLANK(A1167), "", XLOOKUP(C1167, 'Fees &amp; Postage Table'!A:A, 'Fees &amp; Postage Table'!D:D, 0))</f>
        <v/>
      </c>
      <c r="H1167">
        <f>IF(ISBLANK(A1167), "", B1167 - E1167 - F1167 - G1167)</f>
        <v/>
      </c>
      <c r="I1167">
        <f>IF(ISBLANK(A1167), "", D1167 - XLOOKUP(A1167, Inventory!A:A, Inventory!H:H, TODAY()))</f>
        <v/>
      </c>
    </row>
    <row r="1168">
      <c r="E1168">
        <f>IF(ISBLANK(A1168), "", XLOOKUP(A1168, Inventory!A:A, Inventory!E:E, 0))</f>
        <v/>
      </c>
      <c r="F1168">
        <f>IF(ISBLANK(A1168), "", (B1168 * XLOOKUP(C1168, 'Fees &amp; Postage Table'!A:A, 'Fees &amp; Postage Table'!C:C, 0)) + XLOOKUP(C1168, 'Fees &amp; Postage Table'!A:A, 'Fees &amp; Postage Table'!B:B, 0))</f>
        <v/>
      </c>
      <c r="G1168">
        <f>IF(ISBLANK(A1168), "", XLOOKUP(C1168, 'Fees &amp; Postage Table'!A:A, 'Fees &amp; Postage Table'!D:D, 0))</f>
        <v/>
      </c>
      <c r="H1168">
        <f>IF(ISBLANK(A1168), "", B1168 - E1168 - F1168 - G1168)</f>
        <v/>
      </c>
      <c r="I1168">
        <f>IF(ISBLANK(A1168), "", D1168 - XLOOKUP(A1168, Inventory!A:A, Inventory!H:H, TODAY()))</f>
        <v/>
      </c>
    </row>
    <row r="1169">
      <c r="E1169">
        <f>IF(ISBLANK(A1169), "", XLOOKUP(A1169, Inventory!A:A, Inventory!E:E, 0))</f>
        <v/>
      </c>
      <c r="F1169">
        <f>IF(ISBLANK(A1169), "", (B1169 * XLOOKUP(C1169, 'Fees &amp; Postage Table'!A:A, 'Fees &amp; Postage Table'!C:C, 0)) + XLOOKUP(C1169, 'Fees &amp; Postage Table'!A:A, 'Fees &amp; Postage Table'!B:B, 0))</f>
        <v/>
      </c>
      <c r="G1169">
        <f>IF(ISBLANK(A1169), "", XLOOKUP(C1169, 'Fees &amp; Postage Table'!A:A, 'Fees &amp; Postage Table'!D:D, 0))</f>
        <v/>
      </c>
      <c r="H1169">
        <f>IF(ISBLANK(A1169), "", B1169 - E1169 - F1169 - G1169)</f>
        <v/>
      </c>
      <c r="I1169">
        <f>IF(ISBLANK(A1169), "", D1169 - XLOOKUP(A1169, Inventory!A:A, Inventory!H:H, TODAY()))</f>
        <v/>
      </c>
    </row>
    <row r="1170">
      <c r="E1170">
        <f>IF(ISBLANK(A1170), "", XLOOKUP(A1170, Inventory!A:A, Inventory!E:E, 0))</f>
        <v/>
      </c>
      <c r="F1170">
        <f>IF(ISBLANK(A1170), "", (B1170 * XLOOKUP(C1170, 'Fees &amp; Postage Table'!A:A, 'Fees &amp; Postage Table'!C:C, 0)) + XLOOKUP(C1170, 'Fees &amp; Postage Table'!A:A, 'Fees &amp; Postage Table'!B:B, 0))</f>
        <v/>
      </c>
      <c r="G1170">
        <f>IF(ISBLANK(A1170), "", XLOOKUP(C1170, 'Fees &amp; Postage Table'!A:A, 'Fees &amp; Postage Table'!D:D, 0))</f>
        <v/>
      </c>
      <c r="H1170">
        <f>IF(ISBLANK(A1170), "", B1170 - E1170 - F1170 - G1170)</f>
        <v/>
      </c>
      <c r="I1170">
        <f>IF(ISBLANK(A1170), "", D1170 - XLOOKUP(A1170, Inventory!A:A, Inventory!H:H, TODAY()))</f>
        <v/>
      </c>
    </row>
    <row r="1171">
      <c r="E1171">
        <f>IF(ISBLANK(A1171), "", XLOOKUP(A1171, Inventory!A:A, Inventory!E:E, 0))</f>
        <v/>
      </c>
      <c r="F1171">
        <f>IF(ISBLANK(A1171), "", (B1171 * XLOOKUP(C1171, 'Fees &amp; Postage Table'!A:A, 'Fees &amp; Postage Table'!C:C, 0)) + XLOOKUP(C1171, 'Fees &amp; Postage Table'!A:A, 'Fees &amp; Postage Table'!B:B, 0))</f>
        <v/>
      </c>
      <c r="G1171">
        <f>IF(ISBLANK(A1171), "", XLOOKUP(C1171, 'Fees &amp; Postage Table'!A:A, 'Fees &amp; Postage Table'!D:D, 0))</f>
        <v/>
      </c>
      <c r="H1171">
        <f>IF(ISBLANK(A1171), "", B1171 - E1171 - F1171 - G1171)</f>
        <v/>
      </c>
      <c r="I1171">
        <f>IF(ISBLANK(A1171), "", D1171 - XLOOKUP(A1171, Inventory!A:A, Inventory!H:H, TODAY()))</f>
        <v/>
      </c>
    </row>
    <row r="1172">
      <c r="E1172">
        <f>IF(ISBLANK(A1172), "", XLOOKUP(A1172, Inventory!A:A, Inventory!E:E, 0))</f>
        <v/>
      </c>
      <c r="F1172">
        <f>IF(ISBLANK(A1172), "", (B1172 * XLOOKUP(C1172, 'Fees &amp; Postage Table'!A:A, 'Fees &amp; Postage Table'!C:C, 0)) + XLOOKUP(C1172, 'Fees &amp; Postage Table'!A:A, 'Fees &amp; Postage Table'!B:B, 0))</f>
        <v/>
      </c>
      <c r="G1172">
        <f>IF(ISBLANK(A1172), "", XLOOKUP(C1172, 'Fees &amp; Postage Table'!A:A, 'Fees &amp; Postage Table'!D:D, 0))</f>
        <v/>
      </c>
      <c r="H1172">
        <f>IF(ISBLANK(A1172), "", B1172 - E1172 - F1172 - G1172)</f>
        <v/>
      </c>
      <c r="I1172">
        <f>IF(ISBLANK(A1172), "", D1172 - XLOOKUP(A1172, Inventory!A:A, Inventory!H:H, TODAY()))</f>
        <v/>
      </c>
    </row>
    <row r="1173">
      <c r="E1173">
        <f>IF(ISBLANK(A1173), "", XLOOKUP(A1173, Inventory!A:A, Inventory!E:E, 0))</f>
        <v/>
      </c>
      <c r="F1173">
        <f>IF(ISBLANK(A1173), "", (B1173 * XLOOKUP(C1173, 'Fees &amp; Postage Table'!A:A, 'Fees &amp; Postage Table'!C:C, 0)) + XLOOKUP(C1173, 'Fees &amp; Postage Table'!A:A, 'Fees &amp; Postage Table'!B:B, 0))</f>
        <v/>
      </c>
      <c r="G1173">
        <f>IF(ISBLANK(A1173), "", XLOOKUP(C1173, 'Fees &amp; Postage Table'!A:A, 'Fees &amp; Postage Table'!D:D, 0))</f>
        <v/>
      </c>
      <c r="H1173">
        <f>IF(ISBLANK(A1173), "", B1173 - E1173 - F1173 - G1173)</f>
        <v/>
      </c>
      <c r="I1173">
        <f>IF(ISBLANK(A1173), "", D1173 - XLOOKUP(A1173, Inventory!A:A, Inventory!H:H, TODAY()))</f>
        <v/>
      </c>
    </row>
    <row r="1174">
      <c r="E1174">
        <f>IF(ISBLANK(A1174), "", XLOOKUP(A1174, Inventory!A:A, Inventory!E:E, 0))</f>
        <v/>
      </c>
      <c r="F1174">
        <f>IF(ISBLANK(A1174), "", (B1174 * XLOOKUP(C1174, 'Fees &amp; Postage Table'!A:A, 'Fees &amp; Postage Table'!C:C, 0)) + XLOOKUP(C1174, 'Fees &amp; Postage Table'!A:A, 'Fees &amp; Postage Table'!B:B, 0))</f>
        <v/>
      </c>
      <c r="G1174">
        <f>IF(ISBLANK(A1174), "", XLOOKUP(C1174, 'Fees &amp; Postage Table'!A:A, 'Fees &amp; Postage Table'!D:D, 0))</f>
        <v/>
      </c>
      <c r="H1174">
        <f>IF(ISBLANK(A1174), "", B1174 - E1174 - F1174 - G1174)</f>
        <v/>
      </c>
      <c r="I1174">
        <f>IF(ISBLANK(A1174), "", D1174 - XLOOKUP(A1174, Inventory!A:A, Inventory!H:H, TODAY()))</f>
        <v/>
      </c>
    </row>
    <row r="1175">
      <c r="E1175">
        <f>IF(ISBLANK(A1175), "", XLOOKUP(A1175, Inventory!A:A, Inventory!E:E, 0))</f>
        <v/>
      </c>
      <c r="F1175">
        <f>IF(ISBLANK(A1175), "", (B1175 * XLOOKUP(C1175, 'Fees &amp; Postage Table'!A:A, 'Fees &amp; Postage Table'!C:C, 0)) + XLOOKUP(C1175, 'Fees &amp; Postage Table'!A:A, 'Fees &amp; Postage Table'!B:B, 0))</f>
        <v/>
      </c>
      <c r="G1175">
        <f>IF(ISBLANK(A1175), "", XLOOKUP(C1175, 'Fees &amp; Postage Table'!A:A, 'Fees &amp; Postage Table'!D:D, 0))</f>
        <v/>
      </c>
      <c r="H1175">
        <f>IF(ISBLANK(A1175), "", B1175 - E1175 - F1175 - G1175)</f>
        <v/>
      </c>
      <c r="I1175">
        <f>IF(ISBLANK(A1175), "", D1175 - XLOOKUP(A1175, Inventory!A:A, Inventory!H:H, TODAY()))</f>
        <v/>
      </c>
    </row>
    <row r="1176">
      <c r="E1176">
        <f>IF(ISBLANK(A1176), "", XLOOKUP(A1176, Inventory!A:A, Inventory!E:E, 0))</f>
        <v/>
      </c>
      <c r="F1176">
        <f>IF(ISBLANK(A1176), "", (B1176 * XLOOKUP(C1176, 'Fees &amp; Postage Table'!A:A, 'Fees &amp; Postage Table'!C:C, 0)) + XLOOKUP(C1176, 'Fees &amp; Postage Table'!A:A, 'Fees &amp; Postage Table'!B:B, 0))</f>
        <v/>
      </c>
      <c r="G1176">
        <f>IF(ISBLANK(A1176), "", XLOOKUP(C1176, 'Fees &amp; Postage Table'!A:A, 'Fees &amp; Postage Table'!D:D, 0))</f>
        <v/>
      </c>
      <c r="H1176">
        <f>IF(ISBLANK(A1176), "", B1176 - E1176 - F1176 - G1176)</f>
        <v/>
      </c>
      <c r="I1176">
        <f>IF(ISBLANK(A1176), "", D1176 - XLOOKUP(A1176, Inventory!A:A, Inventory!H:H, TODAY()))</f>
        <v/>
      </c>
    </row>
    <row r="1177">
      <c r="E1177">
        <f>IF(ISBLANK(A1177), "", XLOOKUP(A1177, Inventory!A:A, Inventory!E:E, 0))</f>
        <v/>
      </c>
      <c r="F1177">
        <f>IF(ISBLANK(A1177), "", (B1177 * XLOOKUP(C1177, 'Fees &amp; Postage Table'!A:A, 'Fees &amp; Postage Table'!C:C, 0)) + XLOOKUP(C1177, 'Fees &amp; Postage Table'!A:A, 'Fees &amp; Postage Table'!B:B, 0))</f>
        <v/>
      </c>
      <c r="G1177">
        <f>IF(ISBLANK(A1177), "", XLOOKUP(C1177, 'Fees &amp; Postage Table'!A:A, 'Fees &amp; Postage Table'!D:D, 0))</f>
        <v/>
      </c>
      <c r="H1177">
        <f>IF(ISBLANK(A1177), "", B1177 - E1177 - F1177 - G1177)</f>
        <v/>
      </c>
      <c r="I1177">
        <f>IF(ISBLANK(A1177), "", D1177 - XLOOKUP(A1177, Inventory!A:A, Inventory!H:H, TODAY()))</f>
        <v/>
      </c>
    </row>
    <row r="1178">
      <c r="E1178">
        <f>IF(ISBLANK(A1178), "", XLOOKUP(A1178, Inventory!A:A, Inventory!E:E, 0))</f>
        <v/>
      </c>
      <c r="F1178">
        <f>IF(ISBLANK(A1178), "", (B1178 * XLOOKUP(C1178, 'Fees &amp; Postage Table'!A:A, 'Fees &amp; Postage Table'!C:C, 0)) + XLOOKUP(C1178, 'Fees &amp; Postage Table'!A:A, 'Fees &amp; Postage Table'!B:B, 0))</f>
        <v/>
      </c>
      <c r="G1178">
        <f>IF(ISBLANK(A1178), "", XLOOKUP(C1178, 'Fees &amp; Postage Table'!A:A, 'Fees &amp; Postage Table'!D:D, 0))</f>
        <v/>
      </c>
      <c r="H1178">
        <f>IF(ISBLANK(A1178), "", B1178 - E1178 - F1178 - G1178)</f>
        <v/>
      </c>
      <c r="I1178">
        <f>IF(ISBLANK(A1178), "", D1178 - XLOOKUP(A1178, Inventory!A:A, Inventory!H:H, TODAY()))</f>
        <v/>
      </c>
    </row>
    <row r="1179">
      <c r="E1179">
        <f>IF(ISBLANK(A1179), "", XLOOKUP(A1179, Inventory!A:A, Inventory!E:E, 0))</f>
        <v/>
      </c>
      <c r="F1179">
        <f>IF(ISBLANK(A1179), "", (B1179 * XLOOKUP(C1179, 'Fees &amp; Postage Table'!A:A, 'Fees &amp; Postage Table'!C:C, 0)) + XLOOKUP(C1179, 'Fees &amp; Postage Table'!A:A, 'Fees &amp; Postage Table'!B:B, 0))</f>
        <v/>
      </c>
      <c r="G1179">
        <f>IF(ISBLANK(A1179), "", XLOOKUP(C1179, 'Fees &amp; Postage Table'!A:A, 'Fees &amp; Postage Table'!D:D, 0))</f>
        <v/>
      </c>
      <c r="H1179">
        <f>IF(ISBLANK(A1179), "", B1179 - E1179 - F1179 - G1179)</f>
        <v/>
      </c>
      <c r="I1179">
        <f>IF(ISBLANK(A1179), "", D1179 - XLOOKUP(A1179, Inventory!A:A, Inventory!H:H, TODAY()))</f>
        <v/>
      </c>
    </row>
    <row r="1180">
      <c r="E1180">
        <f>IF(ISBLANK(A1180), "", XLOOKUP(A1180, Inventory!A:A, Inventory!E:E, 0))</f>
        <v/>
      </c>
      <c r="F1180">
        <f>IF(ISBLANK(A1180), "", (B1180 * XLOOKUP(C1180, 'Fees &amp; Postage Table'!A:A, 'Fees &amp; Postage Table'!C:C, 0)) + XLOOKUP(C1180, 'Fees &amp; Postage Table'!A:A, 'Fees &amp; Postage Table'!B:B, 0))</f>
        <v/>
      </c>
      <c r="G1180">
        <f>IF(ISBLANK(A1180), "", XLOOKUP(C1180, 'Fees &amp; Postage Table'!A:A, 'Fees &amp; Postage Table'!D:D, 0))</f>
        <v/>
      </c>
      <c r="H1180">
        <f>IF(ISBLANK(A1180), "", B1180 - E1180 - F1180 - G1180)</f>
        <v/>
      </c>
      <c r="I1180">
        <f>IF(ISBLANK(A1180), "", D1180 - XLOOKUP(A1180, Inventory!A:A, Inventory!H:H, TODAY()))</f>
        <v/>
      </c>
    </row>
    <row r="1181">
      <c r="E1181">
        <f>IF(ISBLANK(A1181), "", XLOOKUP(A1181, Inventory!A:A, Inventory!E:E, 0))</f>
        <v/>
      </c>
      <c r="F1181">
        <f>IF(ISBLANK(A1181), "", (B1181 * XLOOKUP(C1181, 'Fees &amp; Postage Table'!A:A, 'Fees &amp; Postage Table'!C:C, 0)) + XLOOKUP(C1181, 'Fees &amp; Postage Table'!A:A, 'Fees &amp; Postage Table'!B:B, 0))</f>
        <v/>
      </c>
      <c r="G1181">
        <f>IF(ISBLANK(A1181), "", XLOOKUP(C1181, 'Fees &amp; Postage Table'!A:A, 'Fees &amp; Postage Table'!D:D, 0))</f>
        <v/>
      </c>
      <c r="H1181">
        <f>IF(ISBLANK(A1181), "", B1181 - E1181 - F1181 - G1181)</f>
        <v/>
      </c>
      <c r="I1181">
        <f>IF(ISBLANK(A1181), "", D1181 - XLOOKUP(A1181, Inventory!A:A, Inventory!H:H, TODAY()))</f>
        <v/>
      </c>
    </row>
    <row r="1182">
      <c r="E1182">
        <f>IF(ISBLANK(A1182), "", XLOOKUP(A1182, Inventory!A:A, Inventory!E:E, 0))</f>
        <v/>
      </c>
      <c r="F1182">
        <f>IF(ISBLANK(A1182), "", (B1182 * XLOOKUP(C1182, 'Fees &amp; Postage Table'!A:A, 'Fees &amp; Postage Table'!C:C, 0)) + XLOOKUP(C1182, 'Fees &amp; Postage Table'!A:A, 'Fees &amp; Postage Table'!B:B, 0))</f>
        <v/>
      </c>
      <c r="G1182">
        <f>IF(ISBLANK(A1182), "", XLOOKUP(C1182, 'Fees &amp; Postage Table'!A:A, 'Fees &amp; Postage Table'!D:D, 0))</f>
        <v/>
      </c>
      <c r="H1182">
        <f>IF(ISBLANK(A1182), "", B1182 - E1182 - F1182 - G1182)</f>
        <v/>
      </c>
      <c r="I1182">
        <f>IF(ISBLANK(A1182), "", D1182 - XLOOKUP(A1182, Inventory!A:A, Inventory!H:H, TODAY()))</f>
        <v/>
      </c>
    </row>
    <row r="1183">
      <c r="E1183">
        <f>IF(ISBLANK(A1183), "", XLOOKUP(A1183, Inventory!A:A, Inventory!E:E, 0))</f>
        <v/>
      </c>
      <c r="F1183">
        <f>IF(ISBLANK(A1183), "", (B1183 * XLOOKUP(C1183, 'Fees &amp; Postage Table'!A:A, 'Fees &amp; Postage Table'!C:C, 0)) + XLOOKUP(C1183, 'Fees &amp; Postage Table'!A:A, 'Fees &amp; Postage Table'!B:B, 0))</f>
        <v/>
      </c>
      <c r="G1183">
        <f>IF(ISBLANK(A1183), "", XLOOKUP(C1183, 'Fees &amp; Postage Table'!A:A, 'Fees &amp; Postage Table'!D:D, 0))</f>
        <v/>
      </c>
      <c r="H1183">
        <f>IF(ISBLANK(A1183), "", B1183 - E1183 - F1183 - G1183)</f>
        <v/>
      </c>
      <c r="I1183">
        <f>IF(ISBLANK(A1183), "", D1183 - XLOOKUP(A1183, Inventory!A:A, Inventory!H:H, TODAY()))</f>
        <v/>
      </c>
    </row>
    <row r="1184">
      <c r="E1184">
        <f>IF(ISBLANK(A1184), "", XLOOKUP(A1184, Inventory!A:A, Inventory!E:E, 0))</f>
        <v/>
      </c>
      <c r="F1184">
        <f>IF(ISBLANK(A1184), "", (B1184 * XLOOKUP(C1184, 'Fees &amp; Postage Table'!A:A, 'Fees &amp; Postage Table'!C:C, 0)) + XLOOKUP(C1184, 'Fees &amp; Postage Table'!A:A, 'Fees &amp; Postage Table'!B:B, 0))</f>
        <v/>
      </c>
      <c r="G1184">
        <f>IF(ISBLANK(A1184), "", XLOOKUP(C1184, 'Fees &amp; Postage Table'!A:A, 'Fees &amp; Postage Table'!D:D, 0))</f>
        <v/>
      </c>
      <c r="H1184">
        <f>IF(ISBLANK(A1184), "", B1184 - E1184 - F1184 - G1184)</f>
        <v/>
      </c>
      <c r="I1184">
        <f>IF(ISBLANK(A1184), "", D1184 - XLOOKUP(A1184, Inventory!A:A, Inventory!H:H, TODAY()))</f>
        <v/>
      </c>
    </row>
    <row r="1185">
      <c r="E1185">
        <f>IF(ISBLANK(A1185), "", XLOOKUP(A1185, Inventory!A:A, Inventory!E:E, 0))</f>
        <v/>
      </c>
      <c r="F1185">
        <f>IF(ISBLANK(A1185), "", (B1185 * XLOOKUP(C1185, 'Fees &amp; Postage Table'!A:A, 'Fees &amp; Postage Table'!C:C, 0)) + XLOOKUP(C1185, 'Fees &amp; Postage Table'!A:A, 'Fees &amp; Postage Table'!B:B, 0))</f>
        <v/>
      </c>
      <c r="G1185">
        <f>IF(ISBLANK(A1185), "", XLOOKUP(C1185, 'Fees &amp; Postage Table'!A:A, 'Fees &amp; Postage Table'!D:D, 0))</f>
        <v/>
      </c>
      <c r="H1185">
        <f>IF(ISBLANK(A1185), "", B1185 - E1185 - F1185 - G1185)</f>
        <v/>
      </c>
      <c r="I1185">
        <f>IF(ISBLANK(A1185), "", D1185 - XLOOKUP(A1185, Inventory!A:A, Inventory!H:H, TODAY()))</f>
        <v/>
      </c>
    </row>
    <row r="1186">
      <c r="E1186">
        <f>IF(ISBLANK(A1186), "", XLOOKUP(A1186, Inventory!A:A, Inventory!E:E, 0))</f>
        <v/>
      </c>
      <c r="F1186">
        <f>IF(ISBLANK(A1186), "", (B1186 * XLOOKUP(C1186, 'Fees &amp; Postage Table'!A:A, 'Fees &amp; Postage Table'!C:C, 0)) + XLOOKUP(C1186, 'Fees &amp; Postage Table'!A:A, 'Fees &amp; Postage Table'!B:B, 0))</f>
        <v/>
      </c>
      <c r="G1186">
        <f>IF(ISBLANK(A1186), "", XLOOKUP(C1186, 'Fees &amp; Postage Table'!A:A, 'Fees &amp; Postage Table'!D:D, 0))</f>
        <v/>
      </c>
      <c r="H1186">
        <f>IF(ISBLANK(A1186), "", B1186 - E1186 - F1186 - G1186)</f>
        <v/>
      </c>
      <c r="I1186">
        <f>IF(ISBLANK(A1186), "", D1186 - XLOOKUP(A1186, Inventory!A:A, Inventory!H:H, TODAY()))</f>
        <v/>
      </c>
    </row>
    <row r="1187">
      <c r="E1187">
        <f>IF(ISBLANK(A1187), "", XLOOKUP(A1187, Inventory!A:A, Inventory!E:E, 0))</f>
        <v/>
      </c>
      <c r="F1187">
        <f>IF(ISBLANK(A1187), "", (B1187 * XLOOKUP(C1187, 'Fees &amp; Postage Table'!A:A, 'Fees &amp; Postage Table'!C:C, 0)) + XLOOKUP(C1187, 'Fees &amp; Postage Table'!A:A, 'Fees &amp; Postage Table'!B:B, 0))</f>
        <v/>
      </c>
      <c r="G1187">
        <f>IF(ISBLANK(A1187), "", XLOOKUP(C1187, 'Fees &amp; Postage Table'!A:A, 'Fees &amp; Postage Table'!D:D, 0))</f>
        <v/>
      </c>
      <c r="H1187">
        <f>IF(ISBLANK(A1187), "", B1187 - E1187 - F1187 - G1187)</f>
        <v/>
      </c>
      <c r="I1187">
        <f>IF(ISBLANK(A1187), "", D1187 - XLOOKUP(A1187, Inventory!A:A, Inventory!H:H, TODAY()))</f>
        <v/>
      </c>
    </row>
    <row r="1188">
      <c r="E1188">
        <f>IF(ISBLANK(A1188), "", XLOOKUP(A1188, Inventory!A:A, Inventory!E:E, 0))</f>
        <v/>
      </c>
      <c r="F1188">
        <f>IF(ISBLANK(A1188), "", (B1188 * XLOOKUP(C1188, 'Fees &amp; Postage Table'!A:A, 'Fees &amp; Postage Table'!C:C, 0)) + XLOOKUP(C1188, 'Fees &amp; Postage Table'!A:A, 'Fees &amp; Postage Table'!B:B, 0))</f>
        <v/>
      </c>
      <c r="G1188">
        <f>IF(ISBLANK(A1188), "", XLOOKUP(C1188, 'Fees &amp; Postage Table'!A:A, 'Fees &amp; Postage Table'!D:D, 0))</f>
        <v/>
      </c>
      <c r="H1188">
        <f>IF(ISBLANK(A1188), "", B1188 - E1188 - F1188 - G1188)</f>
        <v/>
      </c>
      <c r="I1188">
        <f>IF(ISBLANK(A1188), "", D1188 - XLOOKUP(A1188, Inventory!A:A, Inventory!H:H, TODAY()))</f>
        <v/>
      </c>
    </row>
    <row r="1189">
      <c r="E1189">
        <f>IF(ISBLANK(A1189), "", XLOOKUP(A1189, Inventory!A:A, Inventory!E:E, 0))</f>
        <v/>
      </c>
      <c r="F1189">
        <f>IF(ISBLANK(A1189), "", (B1189 * XLOOKUP(C1189, 'Fees &amp; Postage Table'!A:A, 'Fees &amp; Postage Table'!C:C, 0)) + XLOOKUP(C1189, 'Fees &amp; Postage Table'!A:A, 'Fees &amp; Postage Table'!B:B, 0))</f>
        <v/>
      </c>
      <c r="G1189">
        <f>IF(ISBLANK(A1189), "", XLOOKUP(C1189, 'Fees &amp; Postage Table'!A:A, 'Fees &amp; Postage Table'!D:D, 0))</f>
        <v/>
      </c>
      <c r="H1189">
        <f>IF(ISBLANK(A1189), "", B1189 - E1189 - F1189 - G1189)</f>
        <v/>
      </c>
      <c r="I1189">
        <f>IF(ISBLANK(A1189), "", D1189 - XLOOKUP(A1189, Inventory!A:A, Inventory!H:H, TODAY()))</f>
        <v/>
      </c>
    </row>
    <row r="1190">
      <c r="E1190">
        <f>IF(ISBLANK(A1190), "", XLOOKUP(A1190, Inventory!A:A, Inventory!E:E, 0))</f>
        <v/>
      </c>
      <c r="F1190">
        <f>IF(ISBLANK(A1190), "", (B1190 * XLOOKUP(C1190, 'Fees &amp; Postage Table'!A:A, 'Fees &amp; Postage Table'!C:C, 0)) + XLOOKUP(C1190, 'Fees &amp; Postage Table'!A:A, 'Fees &amp; Postage Table'!B:B, 0))</f>
        <v/>
      </c>
      <c r="G1190">
        <f>IF(ISBLANK(A1190), "", XLOOKUP(C1190, 'Fees &amp; Postage Table'!A:A, 'Fees &amp; Postage Table'!D:D, 0))</f>
        <v/>
      </c>
      <c r="H1190">
        <f>IF(ISBLANK(A1190), "", B1190 - E1190 - F1190 - G1190)</f>
        <v/>
      </c>
      <c r="I1190">
        <f>IF(ISBLANK(A1190), "", D1190 - XLOOKUP(A1190, Inventory!A:A, Inventory!H:H, TODAY()))</f>
        <v/>
      </c>
    </row>
    <row r="1191">
      <c r="E1191">
        <f>IF(ISBLANK(A1191), "", XLOOKUP(A1191, Inventory!A:A, Inventory!E:E, 0))</f>
        <v/>
      </c>
      <c r="F1191">
        <f>IF(ISBLANK(A1191), "", (B1191 * XLOOKUP(C1191, 'Fees &amp; Postage Table'!A:A, 'Fees &amp; Postage Table'!C:C, 0)) + XLOOKUP(C1191, 'Fees &amp; Postage Table'!A:A, 'Fees &amp; Postage Table'!B:B, 0))</f>
        <v/>
      </c>
      <c r="G1191">
        <f>IF(ISBLANK(A1191), "", XLOOKUP(C1191, 'Fees &amp; Postage Table'!A:A, 'Fees &amp; Postage Table'!D:D, 0))</f>
        <v/>
      </c>
      <c r="H1191">
        <f>IF(ISBLANK(A1191), "", B1191 - E1191 - F1191 - G1191)</f>
        <v/>
      </c>
      <c r="I1191">
        <f>IF(ISBLANK(A1191), "", D1191 - XLOOKUP(A1191, Inventory!A:A, Inventory!H:H, TODAY()))</f>
        <v/>
      </c>
    </row>
    <row r="1192">
      <c r="E1192">
        <f>IF(ISBLANK(A1192), "", XLOOKUP(A1192, Inventory!A:A, Inventory!E:E, 0))</f>
        <v/>
      </c>
      <c r="F1192">
        <f>IF(ISBLANK(A1192), "", (B1192 * XLOOKUP(C1192, 'Fees &amp; Postage Table'!A:A, 'Fees &amp; Postage Table'!C:C, 0)) + XLOOKUP(C1192, 'Fees &amp; Postage Table'!A:A, 'Fees &amp; Postage Table'!B:B, 0))</f>
        <v/>
      </c>
      <c r="G1192">
        <f>IF(ISBLANK(A1192), "", XLOOKUP(C1192, 'Fees &amp; Postage Table'!A:A, 'Fees &amp; Postage Table'!D:D, 0))</f>
        <v/>
      </c>
      <c r="H1192">
        <f>IF(ISBLANK(A1192), "", B1192 - E1192 - F1192 - G1192)</f>
        <v/>
      </c>
      <c r="I1192">
        <f>IF(ISBLANK(A1192), "", D1192 - XLOOKUP(A1192, Inventory!A:A, Inventory!H:H, TODAY()))</f>
        <v/>
      </c>
    </row>
    <row r="1193">
      <c r="E1193">
        <f>IF(ISBLANK(A1193), "", XLOOKUP(A1193, Inventory!A:A, Inventory!E:E, 0))</f>
        <v/>
      </c>
      <c r="F1193">
        <f>IF(ISBLANK(A1193), "", (B1193 * XLOOKUP(C1193, 'Fees &amp; Postage Table'!A:A, 'Fees &amp; Postage Table'!C:C, 0)) + XLOOKUP(C1193, 'Fees &amp; Postage Table'!A:A, 'Fees &amp; Postage Table'!B:B, 0))</f>
        <v/>
      </c>
      <c r="G1193">
        <f>IF(ISBLANK(A1193), "", XLOOKUP(C1193, 'Fees &amp; Postage Table'!A:A, 'Fees &amp; Postage Table'!D:D, 0))</f>
        <v/>
      </c>
      <c r="H1193">
        <f>IF(ISBLANK(A1193), "", B1193 - E1193 - F1193 - G1193)</f>
        <v/>
      </c>
      <c r="I1193">
        <f>IF(ISBLANK(A1193), "", D1193 - XLOOKUP(A1193, Inventory!A:A, Inventory!H:H, TODAY()))</f>
        <v/>
      </c>
    </row>
    <row r="1194">
      <c r="E1194">
        <f>IF(ISBLANK(A1194), "", XLOOKUP(A1194, Inventory!A:A, Inventory!E:E, 0))</f>
        <v/>
      </c>
      <c r="F1194">
        <f>IF(ISBLANK(A1194), "", (B1194 * XLOOKUP(C1194, 'Fees &amp; Postage Table'!A:A, 'Fees &amp; Postage Table'!C:C, 0)) + XLOOKUP(C1194, 'Fees &amp; Postage Table'!A:A, 'Fees &amp; Postage Table'!B:B, 0))</f>
        <v/>
      </c>
      <c r="G1194">
        <f>IF(ISBLANK(A1194), "", XLOOKUP(C1194, 'Fees &amp; Postage Table'!A:A, 'Fees &amp; Postage Table'!D:D, 0))</f>
        <v/>
      </c>
      <c r="H1194">
        <f>IF(ISBLANK(A1194), "", B1194 - E1194 - F1194 - G1194)</f>
        <v/>
      </c>
      <c r="I1194">
        <f>IF(ISBLANK(A1194), "", D1194 - XLOOKUP(A1194, Inventory!A:A, Inventory!H:H, TODAY()))</f>
        <v/>
      </c>
    </row>
    <row r="1195">
      <c r="E1195">
        <f>IF(ISBLANK(A1195), "", XLOOKUP(A1195, Inventory!A:A, Inventory!E:E, 0))</f>
        <v/>
      </c>
      <c r="F1195">
        <f>IF(ISBLANK(A1195), "", (B1195 * XLOOKUP(C1195, 'Fees &amp; Postage Table'!A:A, 'Fees &amp; Postage Table'!C:C, 0)) + XLOOKUP(C1195, 'Fees &amp; Postage Table'!A:A, 'Fees &amp; Postage Table'!B:B, 0))</f>
        <v/>
      </c>
      <c r="G1195">
        <f>IF(ISBLANK(A1195), "", XLOOKUP(C1195, 'Fees &amp; Postage Table'!A:A, 'Fees &amp; Postage Table'!D:D, 0))</f>
        <v/>
      </c>
      <c r="H1195">
        <f>IF(ISBLANK(A1195), "", B1195 - E1195 - F1195 - G1195)</f>
        <v/>
      </c>
      <c r="I1195">
        <f>IF(ISBLANK(A1195), "", D1195 - XLOOKUP(A1195, Inventory!A:A, Inventory!H:H, TODAY()))</f>
        <v/>
      </c>
    </row>
    <row r="1196">
      <c r="E1196">
        <f>IF(ISBLANK(A1196), "", XLOOKUP(A1196, Inventory!A:A, Inventory!E:E, 0))</f>
        <v/>
      </c>
      <c r="F1196">
        <f>IF(ISBLANK(A1196), "", (B1196 * XLOOKUP(C1196, 'Fees &amp; Postage Table'!A:A, 'Fees &amp; Postage Table'!C:C, 0)) + XLOOKUP(C1196, 'Fees &amp; Postage Table'!A:A, 'Fees &amp; Postage Table'!B:B, 0))</f>
        <v/>
      </c>
      <c r="G1196">
        <f>IF(ISBLANK(A1196), "", XLOOKUP(C1196, 'Fees &amp; Postage Table'!A:A, 'Fees &amp; Postage Table'!D:D, 0))</f>
        <v/>
      </c>
      <c r="H1196">
        <f>IF(ISBLANK(A1196), "", B1196 - E1196 - F1196 - G1196)</f>
        <v/>
      </c>
      <c r="I1196">
        <f>IF(ISBLANK(A1196), "", D1196 - XLOOKUP(A1196, Inventory!A:A, Inventory!H:H, TODAY()))</f>
        <v/>
      </c>
    </row>
    <row r="1197">
      <c r="E1197">
        <f>IF(ISBLANK(A1197), "", XLOOKUP(A1197, Inventory!A:A, Inventory!E:E, 0))</f>
        <v/>
      </c>
      <c r="F1197">
        <f>IF(ISBLANK(A1197), "", (B1197 * XLOOKUP(C1197, 'Fees &amp; Postage Table'!A:A, 'Fees &amp; Postage Table'!C:C, 0)) + XLOOKUP(C1197, 'Fees &amp; Postage Table'!A:A, 'Fees &amp; Postage Table'!B:B, 0))</f>
        <v/>
      </c>
      <c r="G1197">
        <f>IF(ISBLANK(A1197), "", XLOOKUP(C1197, 'Fees &amp; Postage Table'!A:A, 'Fees &amp; Postage Table'!D:D, 0))</f>
        <v/>
      </c>
      <c r="H1197">
        <f>IF(ISBLANK(A1197), "", B1197 - E1197 - F1197 - G1197)</f>
        <v/>
      </c>
      <c r="I1197">
        <f>IF(ISBLANK(A1197), "", D1197 - XLOOKUP(A1197, Inventory!A:A, Inventory!H:H, TODAY()))</f>
        <v/>
      </c>
    </row>
    <row r="1198">
      <c r="E1198">
        <f>IF(ISBLANK(A1198), "", XLOOKUP(A1198, Inventory!A:A, Inventory!E:E, 0))</f>
        <v/>
      </c>
      <c r="F1198">
        <f>IF(ISBLANK(A1198), "", (B1198 * XLOOKUP(C1198, 'Fees &amp; Postage Table'!A:A, 'Fees &amp; Postage Table'!C:C, 0)) + XLOOKUP(C1198, 'Fees &amp; Postage Table'!A:A, 'Fees &amp; Postage Table'!B:B, 0))</f>
        <v/>
      </c>
      <c r="G1198">
        <f>IF(ISBLANK(A1198), "", XLOOKUP(C1198, 'Fees &amp; Postage Table'!A:A, 'Fees &amp; Postage Table'!D:D, 0))</f>
        <v/>
      </c>
      <c r="H1198">
        <f>IF(ISBLANK(A1198), "", B1198 - E1198 - F1198 - G1198)</f>
        <v/>
      </c>
      <c r="I1198">
        <f>IF(ISBLANK(A1198), "", D1198 - XLOOKUP(A1198, Inventory!A:A, Inventory!H:H, TODAY()))</f>
        <v/>
      </c>
    </row>
    <row r="1199">
      <c r="E1199">
        <f>IF(ISBLANK(A1199), "", XLOOKUP(A1199, Inventory!A:A, Inventory!E:E, 0))</f>
        <v/>
      </c>
      <c r="F1199">
        <f>IF(ISBLANK(A1199), "", (B1199 * XLOOKUP(C1199, 'Fees &amp; Postage Table'!A:A, 'Fees &amp; Postage Table'!C:C, 0)) + XLOOKUP(C1199, 'Fees &amp; Postage Table'!A:A, 'Fees &amp; Postage Table'!B:B, 0))</f>
        <v/>
      </c>
      <c r="G1199">
        <f>IF(ISBLANK(A1199), "", XLOOKUP(C1199, 'Fees &amp; Postage Table'!A:A, 'Fees &amp; Postage Table'!D:D, 0))</f>
        <v/>
      </c>
      <c r="H1199">
        <f>IF(ISBLANK(A1199), "", B1199 - E1199 - F1199 - G1199)</f>
        <v/>
      </c>
      <c r="I1199">
        <f>IF(ISBLANK(A1199), "", D1199 - XLOOKUP(A1199, Inventory!A:A, Inventory!H:H, TODAY()))</f>
        <v/>
      </c>
    </row>
    <row r="1200">
      <c r="E1200">
        <f>IF(ISBLANK(A1200), "", XLOOKUP(A1200, Inventory!A:A, Inventory!E:E, 0))</f>
        <v/>
      </c>
      <c r="F1200">
        <f>IF(ISBLANK(A1200), "", (B1200 * XLOOKUP(C1200, 'Fees &amp; Postage Table'!A:A, 'Fees &amp; Postage Table'!C:C, 0)) + XLOOKUP(C1200, 'Fees &amp; Postage Table'!A:A, 'Fees &amp; Postage Table'!B:B, 0))</f>
        <v/>
      </c>
      <c r="G1200">
        <f>IF(ISBLANK(A1200), "", XLOOKUP(C1200, 'Fees &amp; Postage Table'!A:A, 'Fees &amp; Postage Table'!D:D, 0))</f>
        <v/>
      </c>
      <c r="H1200">
        <f>IF(ISBLANK(A1200), "", B1200 - E1200 - F1200 - G1200)</f>
        <v/>
      </c>
      <c r="I1200">
        <f>IF(ISBLANK(A1200), "", D1200 - XLOOKUP(A1200, Inventory!A:A, Inventory!H:H, TODAY()))</f>
        <v/>
      </c>
    </row>
    <row r="1201">
      <c r="E1201">
        <f>IF(ISBLANK(A1201), "", XLOOKUP(A1201, Inventory!A:A, Inventory!E:E, 0))</f>
        <v/>
      </c>
      <c r="F1201">
        <f>IF(ISBLANK(A1201), "", (B1201 * XLOOKUP(C1201, 'Fees &amp; Postage Table'!A:A, 'Fees &amp; Postage Table'!C:C, 0)) + XLOOKUP(C1201, 'Fees &amp; Postage Table'!A:A, 'Fees &amp; Postage Table'!B:B, 0))</f>
        <v/>
      </c>
      <c r="G1201">
        <f>IF(ISBLANK(A1201), "", XLOOKUP(C1201, 'Fees &amp; Postage Table'!A:A, 'Fees &amp; Postage Table'!D:D, 0))</f>
        <v/>
      </c>
      <c r="H1201">
        <f>IF(ISBLANK(A1201), "", B1201 - E1201 - F1201 - G1201)</f>
        <v/>
      </c>
      <c r="I1201">
        <f>IF(ISBLANK(A1201), "", D1201 - XLOOKUP(A1201, Inventory!A:A, Inventory!H:H, TODAY()))</f>
        <v/>
      </c>
    </row>
    <row r="1202">
      <c r="E1202">
        <f>IF(ISBLANK(A1202), "", XLOOKUP(A1202, Inventory!A:A, Inventory!E:E, 0))</f>
        <v/>
      </c>
      <c r="F1202">
        <f>IF(ISBLANK(A1202), "", (B1202 * XLOOKUP(C1202, 'Fees &amp; Postage Table'!A:A, 'Fees &amp; Postage Table'!C:C, 0)) + XLOOKUP(C1202, 'Fees &amp; Postage Table'!A:A, 'Fees &amp; Postage Table'!B:B, 0))</f>
        <v/>
      </c>
      <c r="G1202">
        <f>IF(ISBLANK(A1202), "", XLOOKUP(C1202, 'Fees &amp; Postage Table'!A:A, 'Fees &amp; Postage Table'!D:D, 0))</f>
        <v/>
      </c>
      <c r="H1202">
        <f>IF(ISBLANK(A1202), "", B1202 - E1202 - F1202 - G1202)</f>
        <v/>
      </c>
      <c r="I1202">
        <f>IF(ISBLANK(A1202), "", D1202 - XLOOKUP(A1202, Inventory!A:A, Inventory!H:H, TODAY()))</f>
        <v/>
      </c>
    </row>
    <row r="1203">
      <c r="E1203">
        <f>IF(ISBLANK(A1203), "", XLOOKUP(A1203, Inventory!A:A, Inventory!E:E, 0))</f>
        <v/>
      </c>
      <c r="F1203">
        <f>IF(ISBLANK(A1203), "", (B1203 * XLOOKUP(C1203, 'Fees &amp; Postage Table'!A:A, 'Fees &amp; Postage Table'!C:C, 0)) + XLOOKUP(C1203, 'Fees &amp; Postage Table'!A:A, 'Fees &amp; Postage Table'!B:B, 0))</f>
        <v/>
      </c>
      <c r="G1203">
        <f>IF(ISBLANK(A1203), "", XLOOKUP(C1203, 'Fees &amp; Postage Table'!A:A, 'Fees &amp; Postage Table'!D:D, 0))</f>
        <v/>
      </c>
      <c r="H1203">
        <f>IF(ISBLANK(A1203), "", B1203 - E1203 - F1203 - G1203)</f>
        <v/>
      </c>
      <c r="I1203">
        <f>IF(ISBLANK(A1203), "", D1203 - XLOOKUP(A1203, Inventory!A:A, Inventory!H:H, TODAY()))</f>
        <v/>
      </c>
    </row>
    <row r="1204">
      <c r="E1204">
        <f>IF(ISBLANK(A1204), "", XLOOKUP(A1204, Inventory!A:A, Inventory!E:E, 0))</f>
        <v/>
      </c>
      <c r="F1204">
        <f>IF(ISBLANK(A1204), "", (B1204 * XLOOKUP(C1204, 'Fees &amp; Postage Table'!A:A, 'Fees &amp; Postage Table'!C:C, 0)) + XLOOKUP(C1204, 'Fees &amp; Postage Table'!A:A, 'Fees &amp; Postage Table'!B:B, 0))</f>
        <v/>
      </c>
      <c r="G1204">
        <f>IF(ISBLANK(A1204), "", XLOOKUP(C1204, 'Fees &amp; Postage Table'!A:A, 'Fees &amp; Postage Table'!D:D, 0))</f>
        <v/>
      </c>
      <c r="H1204">
        <f>IF(ISBLANK(A1204), "", B1204 - E1204 - F1204 - G1204)</f>
        <v/>
      </c>
      <c r="I1204">
        <f>IF(ISBLANK(A1204), "", D1204 - XLOOKUP(A1204, Inventory!A:A, Inventory!H:H, TODAY()))</f>
        <v/>
      </c>
    </row>
    <row r="1205">
      <c r="E1205">
        <f>IF(ISBLANK(A1205), "", XLOOKUP(A1205, Inventory!A:A, Inventory!E:E, 0))</f>
        <v/>
      </c>
      <c r="F1205">
        <f>IF(ISBLANK(A1205), "", (B1205 * XLOOKUP(C1205, 'Fees &amp; Postage Table'!A:A, 'Fees &amp; Postage Table'!C:C, 0)) + XLOOKUP(C1205, 'Fees &amp; Postage Table'!A:A, 'Fees &amp; Postage Table'!B:B, 0))</f>
        <v/>
      </c>
      <c r="G1205">
        <f>IF(ISBLANK(A1205), "", XLOOKUP(C1205, 'Fees &amp; Postage Table'!A:A, 'Fees &amp; Postage Table'!D:D, 0))</f>
        <v/>
      </c>
      <c r="H1205">
        <f>IF(ISBLANK(A1205), "", B1205 - E1205 - F1205 - G1205)</f>
        <v/>
      </c>
      <c r="I1205">
        <f>IF(ISBLANK(A1205), "", D1205 - XLOOKUP(A1205, Inventory!A:A, Inventory!H:H, TODAY()))</f>
        <v/>
      </c>
    </row>
    <row r="1206">
      <c r="E1206">
        <f>IF(ISBLANK(A1206), "", XLOOKUP(A1206, Inventory!A:A, Inventory!E:E, 0))</f>
        <v/>
      </c>
      <c r="F1206">
        <f>IF(ISBLANK(A1206), "", (B1206 * XLOOKUP(C1206, 'Fees &amp; Postage Table'!A:A, 'Fees &amp; Postage Table'!C:C, 0)) + XLOOKUP(C1206, 'Fees &amp; Postage Table'!A:A, 'Fees &amp; Postage Table'!B:B, 0))</f>
        <v/>
      </c>
      <c r="G1206">
        <f>IF(ISBLANK(A1206), "", XLOOKUP(C1206, 'Fees &amp; Postage Table'!A:A, 'Fees &amp; Postage Table'!D:D, 0))</f>
        <v/>
      </c>
      <c r="H1206">
        <f>IF(ISBLANK(A1206), "", B1206 - E1206 - F1206 - G1206)</f>
        <v/>
      </c>
      <c r="I1206">
        <f>IF(ISBLANK(A1206), "", D1206 - XLOOKUP(A1206, Inventory!A:A, Inventory!H:H, TODAY()))</f>
        <v/>
      </c>
    </row>
    <row r="1207">
      <c r="E1207">
        <f>IF(ISBLANK(A1207), "", XLOOKUP(A1207, Inventory!A:A, Inventory!E:E, 0))</f>
        <v/>
      </c>
      <c r="F1207">
        <f>IF(ISBLANK(A1207), "", (B1207 * XLOOKUP(C1207, 'Fees &amp; Postage Table'!A:A, 'Fees &amp; Postage Table'!C:C, 0)) + XLOOKUP(C1207, 'Fees &amp; Postage Table'!A:A, 'Fees &amp; Postage Table'!B:B, 0))</f>
        <v/>
      </c>
      <c r="G1207">
        <f>IF(ISBLANK(A1207), "", XLOOKUP(C1207, 'Fees &amp; Postage Table'!A:A, 'Fees &amp; Postage Table'!D:D, 0))</f>
        <v/>
      </c>
      <c r="H1207">
        <f>IF(ISBLANK(A1207), "", B1207 - E1207 - F1207 - G1207)</f>
        <v/>
      </c>
      <c r="I1207">
        <f>IF(ISBLANK(A1207), "", D1207 - XLOOKUP(A1207, Inventory!A:A, Inventory!H:H, TODAY()))</f>
        <v/>
      </c>
    </row>
    <row r="1208">
      <c r="E1208">
        <f>IF(ISBLANK(A1208), "", XLOOKUP(A1208, Inventory!A:A, Inventory!E:E, 0))</f>
        <v/>
      </c>
      <c r="F1208">
        <f>IF(ISBLANK(A1208), "", (B1208 * XLOOKUP(C1208, 'Fees &amp; Postage Table'!A:A, 'Fees &amp; Postage Table'!C:C, 0)) + XLOOKUP(C1208, 'Fees &amp; Postage Table'!A:A, 'Fees &amp; Postage Table'!B:B, 0))</f>
        <v/>
      </c>
      <c r="G1208">
        <f>IF(ISBLANK(A1208), "", XLOOKUP(C1208, 'Fees &amp; Postage Table'!A:A, 'Fees &amp; Postage Table'!D:D, 0))</f>
        <v/>
      </c>
      <c r="H1208">
        <f>IF(ISBLANK(A1208), "", B1208 - E1208 - F1208 - G1208)</f>
        <v/>
      </c>
      <c r="I1208">
        <f>IF(ISBLANK(A1208), "", D1208 - XLOOKUP(A1208, Inventory!A:A, Inventory!H:H, TODAY()))</f>
        <v/>
      </c>
    </row>
    <row r="1209">
      <c r="E1209">
        <f>IF(ISBLANK(A1209), "", XLOOKUP(A1209, Inventory!A:A, Inventory!E:E, 0))</f>
        <v/>
      </c>
      <c r="F1209">
        <f>IF(ISBLANK(A1209), "", (B1209 * XLOOKUP(C1209, 'Fees &amp; Postage Table'!A:A, 'Fees &amp; Postage Table'!C:C, 0)) + XLOOKUP(C1209, 'Fees &amp; Postage Table'!A:A, 'Fees &amp; Postage Table'!B:B, 0))</f>
        <v/>
      </c>
      <c r="G1209">
        <f>IF(ISBLANK(A1209), "", XLOOKUP(C1209, 'Fees &amp; Postage Table'!A:A, 'Fees &amp; Postage Table'!D:D, 0))</f>
        <v/>
      </c>
      <c r="H1209">
        <f>IF(ISBLANK(A1209), "", B1209 - E1209 - F1209 - G1209)</f>
        <v/>
      </c>
      <c r="I1209">
        <f>IF(ISBLANK(A1209), "", D1209 - XLOOKUP(A1209, Inventory!A:A, Inventory!H:H, TODAY()))</f>
        <v/>
      </c>
    </row>
    <row r="1210">
      <c r="E1210">
        <f>IF(ISBLANK(A1210), "", XLOOKUP(A1210, Inventory!A:A, Inventory!E:E, 0))</f>
        <v/>
      </c>
      <c r="F1210">
        <f>IF(ISBLANK(A1210), "", (B1210 * XLOOKUP(C1210, 'Fees &amp; Postage Table'!A:A, 'Fees &amp; Postage Table'!C:C, 0)) + XLOOKUP(C1210, 'Fees &amp; Postage Table'!A:A, 'Fees &amp; Postage Table'!B:B, 0))</f>
        <v/>
      </c>
      <c r="G1210">
        <f>IF(ISBLANK(A1210), "", XLOOKUP(C1210, 'Fees &amp; Postage Table'!A:A, 'Fees &amp; Postage Table'!D:D, 0))</f>
        <v/>
      </c>
      <c r="H1210">
        <f>IF(ISBLANK(A1210), "", B1210 - E1210 - F1210 - G1210)</f>
        <v/>
      </c>
      <c r="I1210">
        <f>IF(ISBLANK(A1210), "", D1210 - XLOOKUP(A1210, Inventory!A:A, Inventory!H:H, TODAY()))</f>
        <v/>
      </c>
    </row>
    <row r="1211">
      <c r="E1211">
        <f>IF(ISBLANK(A1211), "", XLOOKUP(A1211, Inventory!A:A, Inventory!E:E, 0))</f>
        <v/>
      </c>
      <c r="F1211">
        <f>IF(ISBLANK(A1211), "", (B1211 * XLOOKUP(C1211, 'Fees &amp; Postage Table'!A:A, 'Fees &amp; Postage Table'!C:C, 0)) + XLOOKUP(C1211, 'Fees &amp; Postage Table'!A:A, 'Fees &amp; Postage Table'!B:B, 0))</f>
        <v/>
      </c>
      <c r="G1211">
        <f>IF(ISBLANK(A1211), "", XLOOKUP(C1211, 'Fees &amp; Postage Table'!A:A, 'Fees &amp; Postage Table'!D:D, 0))</f>
        <v/>
      </c>
      <c r="H1211">
        <f>IF(ISBLANK(A1211), "", B1211 - E1211 - F1211 - G1211)</f>
        <v/>
      </c>
      <c r="I1211">
        <f>IF(ISBLANK(A1211), "", D1211 - XLOOKUP(A1211, Inventory!A:A, Inventory!H:H, TODAY()))</f>
        <v/>
      </c>
    </row>
    <row r="1212">
      <c r="E1212">
        <f>IF(ISBLANK(A1212), "", XLOOKUP(A1212, Inventory!A:A, Inventory!E:E, 0))</f>
        <v/>
      </c>
      <c r="F1212">
        <f>IF(ISBLANK(A1212), "", (B1212 * XLOOKUP(C1212, 'Fees &amp; Postage Table'!A:A, 'Fees &amp; Postage Table'!C:C, 0)) + XLOOKUP(C1212, 'Fees &amp; Postage Table'!A:A, 'Fees &amp; Postage Table'!B:B, 0))</f>
        <v/>
      </c>
      <c r="G1212">
        <f>IF(ISBLANK(A1212), "", XLOOKUP(C1212, 'Fees &amp; Postage Table'!A:A, 'Fees &amp; Postage Table'!D:D, 0))</f>
        <v/>
      </c>
      <c r="H1212">
        <f>IF(ISBLANK(A1212), "", B1212 - E1212 - F1212 - G1212)</f>
        <v/>
      </c>
      <c r="I1212">
        <f>IF(ISBLANK(A1212), "", D1212 - XLOOKUP(A1212, Inventory!A:A, Inventory!H:H, TODAY()))</f>
        <v/>
      </c>
    </row>
    <row r="1213">
      <c r="E1213">
        <f>IF(ISBLANK(A1213), "", XLOOKUP(A1213, Inventory!A:A, Inventory!E:E, 0))</f>
        <v/>
      </c>
      <c r="F1213">
        <f>IF(ISBLANK(A1213), "", (B1213 * XLOOKUP(C1213, 'Fees &amp; Postage Table'!A:A, 'Fees &amp; Postage Table'!C:C, 0)) + XLOOKUP(C1213, 'Fees &amp; Postage Table'!A:A, 'Fees &amp; Postage Table'!B:B, 0))</f>
        <v/>
      </c>
      <c r="G1213">
        <f>IF(ISBLANK(A1213), "", XLOOKUP(C1213, 'Fees &amp; Postage Table'!A:A, 'Fees &amp; Postage Table'!D:D, 0))</f>
        <v/>
      </c>
      <c r="H1213">
        <f>IF(ISBLANK(A1213), "", B1213 - E1213 - F1213 - G1213)</f>
        <v/>
      </c>
      <c r="I1213">
        <f>IF(ISBLANK(A1213), "", D1213 - XLOOKUP(A1213, Inventory!A:A, Inventory!H:H, TODAY()))</f>
        <v/>
      </c>
    </row>
    <row r="1214">
      <c r="E1214">
        <f>IF(ISBLANK(A1214), "", XLOOKUP(A1214, Inventory!A:A, Inventory!E:E, 0))</f>
        <v/>
      </c>
      <c r="F1214">
        <f>IF(ISBLANK(A1214), "", (B1214 * XLOOKUP(C1214, 'Fees &amp; Postage Table'!A:A, 'Fees &amp; Postage Table'!C:C, 0)) + XLOOKUP(C1214, 'Fees &amp; Postage Table'!A:A, 'Fees &amp; Postage Table'!B:B, 0))</f>
        <v/>
      </c>
      <c r="G1214">
        <f>IF(ISBLANK(A1214), "", XLOOKUP(C1214, 'Fees &amp; Postage Table'!A:A, 'Fees &amp; Postage Table'!D:D, 0))</f>
        <v/>
      </c>
      <c r="H1214">
        <f>IF(ISBLANK(A1214), "", B1214 - E1214 - F1214 - G1214)</f>
        <v/>
      </c>
      <c r="I1214">
        <f>IF(ISBLANK(A1214), "", D1214 - XLOOKUP(A1214, Inventory!A:A, Inventory!H:H, TODAY()))</f>
        <v/>
      </c>
    </row>
    <row r="1215">
      <c r="E1215">
        <f>IF(ISBLANK(A1215), "", XLOOKUP(A1215, Inventory!A:A, Inventory!E:E, 0))</f>
        <v/>
      </c>
      <c r="F1215">
        <f>IF(ISBLANK(A1215), "", (B1215 * XLOOKUP(C1215, 'Fees &amp; Postage Table'!A:A, 'Fees &amp; Postage Table'!C:C, 0)) + XLOOKUP(C1215, 'Fees &amp; Postage Table'!A:A, 'Fees &amp; Postage Table'!B:B, 0))</f>
        <v/>
      </c>
      <c r="G1215">
        <f>IF(ISBLANK(A1215), "", XLOOKUP(C1215, 'Fees &amp; Postage Table'!A:A, 'Fees &amp; Postage Table'!D:D, 0))</f>
        <v/>
      </c>
      <c r="H1215">
        <f>IF(ISBLANK(A1215), "", B1215 - E1215 - F1215 - G1215)</f>
        <v/>
      </c>
      <c r="I1215">
        <f>IF(ISBLANK(A1215), "", D1215 - XLOOKUP(A1215, Inventory!A:A, Inventory!H:H, TODAY()))</f>
        <v/>
      </c>
    </row>
    <row r="1216">
      <c r="E1216">
        <f>IF(ISBLANK(A1216), "", XLOOKUP(A1216, Inventory!A:A, Inventory!E:E, 0))</f>
        <v/>
      </c>
      <c r="F1216">
        <f>IF(ISBLANK(A1216), "", (B1216 * XLOOKUP(C1216, 'Fees &amp; Postage Table'!A:A, 'Fees &amp; Postage Table'!C:C, 0)) + XLOOKUP(C1216, 'Fees &amp; Postage Table'!A:A, 'Fees &amp; Postage Table'!B:B, 0))</f>
        <v/>
      </c>
      <c r="G1216">
        <f>IF(ISBLANK(A1216), "", XLOOKUP(C1216, 'Fees &amp; Postage Table'!A:A, 'Fees &amp; Postage Table'!D:D, 0))</f>
        <v/>
      </c>
      <c r="H1216">
        <f>IF(ISBLANK(A1216), "", B1216 - E1216 - F1216 - G1216)</f>
        <v/>
      </c>
      <c r="I1216">
        <f>IF(ISBLANK(A1216), "", D1216 - XLOOKUP(A1216, Inventory!A:A, Inventory!H:H, TODAY()))</f>
        <v/>
      </c>
    </row>
    <row r="1217">
      <c r="E1217">
        <f>IF(ISBLANK(A1217), "", XLOOKUP(A1217, Inventory!A:A, Inventory!E:E, 0))</f>
        <v/>
      </c>
      <c r="F1217">
        <f>IF(ISBLANK(A1217), "", (B1217 * XLOOKUP(C1217, 'Fees &amp; Postage Table'!A:A, 'Fees &amp; Postage Table'!C:C, 0)) + XLOOKUP(C1217, 'Fees &amp; Postage Table'!A:A, 'Fees &amp; Postage Table'!B:B, 0))</f>
        <v/>
      </c>
      <c r="G1217">
        <f>IF(ISBLANK(A1217), "", XLOOKUP(C1217, 'Fees &amp; Postage Table'!A:A, 'Fees &amp; Postage Table'!D:D, 0))</f>
        <v/>
      </c>
      <c r="H1217">
        <f>IF(ISBLANK(A1217), "", B1217 - E1217 - F1217 - G1217)</f>
        <v/>
      </c>
      <c r="I1217">
        <f>IF(ISBLANK(A1217), "", D1217 - XLOOKUP(A1217, Inventory!A:A, Inventory!H:H, TODAY()))</f>
        <v/>
      </c>
    </row>
    <row r="1218">
      <c r="E1218">
        <f>IF(ISBLANK(A1218), "", XLOOKUP(A1218, Inventory!A:A, Inventory!E:E, 0))</f>
        <v/>
      </c>
      <c r="F1218">
        <f>IF(ISBLANK(A1218), "", (B1218 * XLOOKUP(C1218, 'Fees &amp; Postage Table'!A:A, 'Fees &amp; Postage Table'!C:C, 0)) + XLOOKUP(C1218, 'Fees &amp; Postage Table'!A:A, 'Fees &amp; Postage Table'!B:B, 0))</f>
        <v/>
      </c>
      <c r="G1218">
        <f>IF(ISBLANK(A1218), "", XLOOKUP(C1218, 'Fees &amp; Postage Table'!A:A, 'Fees &amp; Postage Table'!D:D, 0))</f>
        <v/>
      </c>
      <c r="H1218">
        <f>IF(ISBLANK(A1218), "", B1218 - E1218 - F1218 - G1218)</f>
        <v/>
      </c>
      <c r="I1218">
        <f>IF(ISBLANK(A1218), "", D1218 - XLOOKUP(A1218, Inventory!A:A, Inventory!H:H, TODAY()))</f>
        <v/>
      </c>
    </row>
    <row r="1219">
      <c r="E1219">
        <f>IF(ISBLANK(A1219), "", XLOOKUP(A1219, Inventory!A:A, Inventory!E:E, 0))</f>
        <v/>
      </c>
      <c r="F1219">
        <f>IF(ISBLANK(A1219), "", (B1219 * XLOOKUP(C1219, 'Fees &amp; Postage Table'!A:A, 'Fees &amp; Postage Table'!C:C, 0)) + XLOOKUP(C1219, 'Fees &amp; Postage Table'!A:A, 'Fees &amp; Postage Table'!B:B, 0))</f>
        <v/>
      </c>
      <c r="G1219">
        <f>IF(ISBLANK(A1219), "", XLOOKUP(C1219, 'Fees &amp; Postage Table'!A:A, 'Fees &amp; Postage Table'!D:D, 0))</f>
        <v/>
      </c>
      <c r="H1219">
        <f>IF(ISBLANK(A1219), "", B1219 - E1219 - F1219 - G1219)</f>
        <v/>
      </c>
      <c r="I1219">
        <f>IF(ISBLANK(A1219), "", D1219 - XLOOKUP(A1219, Inventory!A:A, Inventory!H:H, TODAY()))</f>
        <v/>
      </c>
    </row>
    <row r="1220">
      <c r="E1220">
        <f>IF(ISBLANK(A1220), "", XLOOKUP(A1220, Inventory!A:A, Inventory!E:E, 0))</f>
        <v/>
      </c>
      <c r="F1220">
        <f>IF(ISBLANK(A1220), "", (B1220 * XLOOKUP(C1220, 'Fees &amp; Postage Table'!A:A, 'Fees &amp; Postage Table'!C:C, 0)) + XLOOKUP(C1220, 'Fees &amp; Postage Table'!A:A, 'Fees &amp; Postage Table'!B:B, 0))</f>
        <v/>
      </c>
      <c r="G1220">
        <f>IF(ISBLANK(A1220), "", XLOOKUP(C1220, 'Fees &amp; Postage Table'!A:A, 'Fees &amp; Postage Table'!D:D, 0))</f>
        <v/>
      </c>
      <c r="H1220">
        <f>IF(ISBLANK(A1220), "", B1220 - E1220 - F1220 - G1220)</f>
        <v/>
      </c>
      <c r="I1220">
        <f>IF(ISBLANK(A1220), "", D1220 - XLOOKUP(A1220, Inventory!A:A, Inventory!H:H, TODAY()))</f>
        <v/>
      </c>
    </row>
    <row r="1221">
      <c r="E1221">
        <f>IF(ISBLANK(A1221), "", XLOOKUP(A1221, Inventory!A:A, Inventory!E:E, 0))</f>
        <v/>
      </c>
      <c r="F1221">
        <f>IF(ISBLANK(A1221), "", (B1221 * XLOOKUP(C1221, 'Fees &amp; Postage Table'!A:A, 'Fees &amp; Postage Table'!C:C, 0)) + XLOOKUP(C1221, 'Fees &amp; Postage Table'!A:A, 'Fees &amp; Postage Table'!B:B, 0))</f>
        <v/>
      </c>
      <c r="G1221">
        <f>IF(ISBLANK(A1221), "", XLOOKUP(C1221, 'Fees &amp; Postage Table'!A:A, 'Fees &amp; Postage Table'!D:D, 0))</f>
        <v/>
      </c>
      <c r="H1221">
        <f>IF(ISBLANK(A1221), "", B1221 - E1221 - F1221 - G1221)</f>
        <v/>
      </c>
      <c r="I1221">
        <f>IF(ISBLANK(A1221), "", D1221 - XLOOKUP(A1221, Inventory!A:A, Inventory!H:H, TODAY()))</f>
        <v/>
      </c>
    </row>
    <row r="1222">
      <c r="E1222">
        <f>IF(ISBLANK(A1222), "", XLOOKUP(A1222, Inventory!A:A, Inventory!E:E, 0))</f>
        <v/>
      </c>
      <c r="F1222">
        <f>IF(ISBLANK(A1222), "", (B1222 * XLOOKUP(C1222, 'Fees &amp; Postage Table'!A:A, 'Fees &amp; Postage Table'!C:C, 0)) + XLOOKUP(C1222, 'Fees &amp; Postage Table'!A:A, 'Fees &amp; Postage Table'!B:B, 0))</f>
        <v/>
      </c>
      <c r="G1222">
        <f>IF(ISBLANK(A1222), "", XLOOKUP(C1222, 'Fees &amp; Postage Table'!A:A, 'Fees &amp; Postage Table'!D:D, 0))</f>
        <v/>
      </c>
      <c r="H1222">
        <f>IF(ISBLANK(A1222), "", B1222 - E1222 - F1222 - G1222)</f>
        <v/>
      </c>
      <c r="I1222">
        <f>IF(ISBLANK(A1222), "", D1222 - XLOOKUP(A1222, Inventory!A:A, Inventory!H:H, TODAY()))</f>
        <v/>
      </c>
    </row>
    <row r="1223">
      <c r="E1223">
        <f>IF(ISBLANK(A1223), "", XLOOKUP(A1223, Inventory!A:A, Inventory!E:E, 0))</f>
        <v/>
      </c>
      <c r="F1223">
        <f>IF(ISBLANK(A1223), "", (B1223 * XLOOKUP(C1223, 'Fees &amp; Postage Table'!A:A, 'Fees &amp; Postage Table'!C:C, 0)) + XLOOKUP(C1223, 'Fees &amp; Postage Table'!A:A, 'Fees &amp; Postage Table'!B:B, 0))</f>
        <v/>
      </c>
      <c r="G1223">
        <f>IF(ISBLANK(A1223), "", XLOOKUP(C1223, 'Fees &amp; Postage Table'!A:A, 'Fees &amp; Postage Table'!D:D, 0))</f>
        <v/>
      </c>
      <c r="H1223">
        <f>IF(ISBLANK(A1223), "", B1223 - E1223 - F1223 - G1223)</f>
        <v/>
      </c>
      <c r="I1223">
        <f>IF(ISBLANK(A1223), "", D1223 - XLOOKUP(A1223, Inventory!A:A, Inventory!H:H, TODAY()))</f>
        <v/>
      </c>
    </row>
    <row r="1224">
      <c r="E1224">
        <f>IF(ISBLANK(A1224), "", XLOOKUP(A1224, Inventory!A:A, Inventory!E:E, 0))</f>
        <v/>
      </c>
      <c r="F1224">
        <f>IF(ISBLANK(A1224), "", (B1224 * XLOOKUP(C1224, 'Fees &amp; Postage Table'!A:A, 'Fees &amp; Postage Table'!C:C, 0)) + XLOOKUP(C1224, 'Fees &amp; Postage Table'!A:A, 'Fees &amp; Postage Table'!B:B, 0))</f>
        <v/>
      </c>
      <c r="G1224">
        <f>IF(ISBLANK(A1224), "", XLOOKUP(C1224, 'Fees &amp; Postage Table'!A:A, 'Fees &amp; Postage Table'!D:D, 0))</f>
        <v/>
      </c>
      <c r="H1224">
        <f>IF(ISBLANK(A1224), "", B1224 - E1224 - F1224 - G1224)</f>
        <v/>
      </c>
      <c r="I1224">
        <f>IF(ISBLANK(A1224), "", D1224 - XLOOKUP(A1224, Inventory!A:A, Inventory!H:H, TODAY()))</f>
        <v/>
      </c>
    </row>
    <row r="1225">
      <c r="E1225">
        <f>IF(ISBLANK(A1225), "", XLOOKUP(A1225, Inventory!A:A, Inventory!E:E, 0))</f>
        <v/>
      </c>
      <c r="F1225">
        <f>IF(ISBLANK(A1225), "", (B1225 * XLOOKUP(C1225, 'Fees &amp; Postage Table'!A:A, 'Fees &amp; Postage Table'!C:C, 0)) + XLOOKUP(C1225, 'Fees &amp; Postage Table'!A:A, 'Fees &amp; Postage Table'!B:B, 0))</f>
        <v/>
      </c>
      <c r="G1225">
        <f>IF(ISBLANK(A1225), "", XLOOKUP(C1225, 'Fees &amp; Postage Table'!A:A, 'Fees &amp; Postage Table'!D:D, 0))</f>
        <v/>
      </c>
      <c r="H1225">
        <f>IF(ISBLANK(A1225), "", B1225 - E1225 - F1225 - G1225)</f>
        <v/>
      </c>
      <c r="I1225">
        <f>IF(ISBLANK(A1225), "", D1225 - XLOOKUP(A1225, Inventory!A:A, Inventory!H:H, TODAY()))</f>
        <v/>
      </c>
    </row>
    <row r="1226">
      <c r="E1226">
        <f>IF(ISBLANK(A1226), "", XLOOKUP(A1226, Inventory!A:A, Inventory!E:E, 0))</f>
        <v/>
      </c>
      <c r="F1226">
        <f>IF(ISBLANK(A1226), "", (B1226 * XLOOKUP(C1226, 'Fees &amp; Postage Table'!A:A, 'Fees &amp; Postage Table'!C:C, 0)) + XLOOKUP(C1226, 'Fees &amp; Postage Table'!A:A, 'Fees &amp; Postage Table'!B:B, 0))</f>
        <v/>
      </c>
      <c r="G1226">
        <f>IF(ISBLANK(A1226), "", XLOOKUP(C1226, 'Fees &amp; Postage Table'!A:A, 'Fees &amp; Postage Table'!D:D, 0))</f>
        <v/>
      </c>
      <c r="H1226">
        <f>IF(ISBLANK(A1226), "", B1226 - E1226 - F1226 - G1226)</f>
        <v/>
      </c>
      <c r="I1226">
        <f>IF(ISBLANK(A1226), "", D1226 - XLOOKUP(A1226, Inventory!A:A, Inventory!H:H, TODAY()))</f>
        <v/>
      </c>
    </row>
    <row r="1227">
      <c r="E1227">
        <f>IF(ISBLANK(A1227), "", XLOOKUP(A1227, Inventory!A:A, Inventory!E:E, 0))</f>
        <v/>
      </c>
      <c r="F1227">
        <f>IF(ISBLANK(A1227), "", (B1227 * XLOOKUP(C1227, 'Fees &amp; Postage Table'!A:A, 'Fees &amp; Postage Table'!C:C, 0)) + XLOOKUP(C1227, 'Fees &amp; Postage Table'!A:A, 'Fees &amp; Postage Table'!B:B, 0))</f>
        <v/>
      </c>
      <c r="G1227">
        <f>IF(ISBLANK(A1227), "", XLOOKUP(C1227, 'Fees &amp; Postage Table'!A:A, 'Fees &amp; Postage Table'!D:D, 0))</f>
        <v/>
      </c>
      <c r="H1227">
        <f>IF(ISBLANK(A1227), "", B1227 - E1227 - F1227 - G1227)</f>
        <v/>
      </c>
      <c r="I1227">
        <f>IF(ISBLANK(A1227), "", D1227 - XLOOKUP(A1227, Inventory!A:A, Inventory!H:H, TODAY()))</f>
        <v/>
      </c>
    </row>
    <row r="1228">
      <c r="E1228">
        <f>IF(ISBLANK(A1228), "", XLOOKUP(A1228, Inventory!A:A, Inventory!E:E, 0))</f>
        <v/>
      </c>
      <c r="F1228">
        <f>IF(ISBLANK(A1228), "", (B1228 * XLOOKUP(C1228, 'Fees &amp; Postage Table'!A:A, 'Fees &amp; Postage Table'!C:C, 0)) + XLOOKUP(C1228, 'Fees &amp; Postage Table'!A:A, 'Fees &amp; Postage Table'!B:B, 0))</f>
        <v/>
      </c>
      <c r="G1228">
        <f>IF(ISBLANK(A1228), "", XLOOKUP(C1228, 'Fees &amp; Postage Table'!A:A, 'Fees &amp; Postage Table'!D:D, 0))</f>
        <v/>
      </c>
      <c r="H1228">
        <f>IF(ISBLANK(A1228), "", B1228 - E1228 - F1228 - G1228)</f>
        <v/>
      </c>
      <c r="I1228">
        <f>IF(ISBLANK(A1228), "", D1228 - XLOOKUP(A1228, Inventory!A:A, Inventory!H:H, TODAY()))</f>
        <v/>
      </c>
    </row>
    <row r="1229">
      <c r="E1229">
        <f>IF(ISBLANK(A1229), "", XLOOKUP(A1229, Inventory!A:A, Inventory!E:E, 0))</f>
        <v/>
      </c>
      <c r="F1229">
        <f>IF(ISBLANK(A1229), "", (B1229 * XLOOKUP(C1229, 'Fees &amp; Postage Table'!A:A, 'Fees &amp; Postage Table'!C:C, 0)) + XLOOKUP(C1229, 'Fees &amp; Postage Table'!A:A, 'Fees &amp; Postage Table'!B:B, 0))</f>
        <v/>
      </c>
      <c r="G1229">
        <f>IF(ISBLANK(A1229), "", XLOOKUP(C1229, 'Fees &amp; Postage Table'!A:A, 'Fees &amp; Postage Table'!D:D, 0))</f>
        <v/>
      </c>
      <c r="H1229">
        <f>IF(ISBLANK(A1229), "", B1229 - E1229 - F1229 - G1229)</f>
        <v/>
      </c>
      <c r="I1229">
        <f>IF(ISBLANK(A1229), "", D1229 - XLOOKUP(A1229, Inventory!A:A, Inventory!H:H, TODAY()))</f>
        <v/>
      </c>
    </row>
    <row r="1230">
      <c r="E1230">
        <f>IF(ISBLANK(A1230), "", XLOOKUP(A1230, Inventory!A:A, Inventory!E:E, 0))</f>
        <v/>
      </c>
      <c r="F1230">
        <f>IF(ISBLANK(A1230), "", (B1230 * XLOOKUP(C1230, 'Fees &amp; Postage Table'!A:A, 'Fees &amp; Postage Table'!C:C, 0)) + XLOOKUP(C1230, 'Fees &amp; Postage Table'!A:A, 'Fees &amp; Postage Table'!B:B, 0))</f>
        <v/>
      </c>
      <c r="G1230">
        <f>IF(ISBLANK(A1230), "", XLOOKUP(C1230, 'Fees &amp; Postage Table'!A:A, 'Fees &amp; Postage Table'!D:D, 0))</f>
        <v/>
      </c>
      <c r="H1230">
        <f>IF(ISBLANK(A1230), "", B1230 - E1230 - F1230 - G1230)</f>
        <v/>
      </c>
      <c r="I1230">
        <f>IF(ISBLANK(A1230), "", D1230 - XLOOKUP(A1230, Inventory!A:A, Inventory!H:H, TODAY()))</f>
        <v/>
      </c>
    </row>
    <row r="1231">
      <c r="E1231">
        <f>IF(ISBLANK(A1231), "", XLOOKUP(A1231, Inventory!A:A, Inventory!E:E, 0))</f>
        <v/>
      </c>
      <c r="F1231">
        <f>IF(ISBLANK(A1231), "", (B1231 * XLOOKUP(C1231, 'Fees &amp; Postage Table'!A:A, 'Fees &amp; Postage Table'!C:C, 0)) + XLOOKUP(C1231, 'Fees &amp; Postage Table'!A:A, 'Fees &amp; Postage Table'!B:B, 0))</f>
        <v/>
      </c>
      <c r="G1231">
        <f>IF(ISBLANK(A1231), "", XLOOKUP(C1231, 'Fees &amp; Postage Table'!A:A, 'Fees &amp; Postage Table'!D:D, 0))</f>
        <v/>
      </c>
      <c r="H1231">
        <f>IF(ISBLANK(A1231), "", B1231 - E1231 - F1231 - G1231)</f>
        <v/>
      </c>
      <c r="I1231">
        <f>IF(ISBLANK(A1231), "", D1231 - XLOOKUP(A1231, Inventory!A:A, Inventory!H:H, TODAY()))</f>
        <v/>
      </c>
    </row>
    <row r="1232">
      <c r="E1232">
        <f>IF(ISBLANK(A1232), "", XLOOKUP(A1232, Inventory!A:A, Inventory!E:E, 0))</f>
        <v/>
      </c>
      <c r="F1232">
        <f>IF(ISBLANK(A1232), "", (B1232 * XLOOKUP(C1232, 'Fees &amp; Postage Table'!A:A, 'Fees &amp; Postage Table'!C:C, 0)) + XLOOKUP(C1232, 'Fees &amp; Postage Table'!A:A, 'Fees &amp; Postage Table'!B:B, 0))</f>
        <v/>
      </c>
      <c r="G1232">
        <f>IF(ISBLANK(A1232), "", XLOOKUP(C1232, 'Fees &amp; Postage Table'!A:A, 'Fees &amp; Postage Table'!D:D, 0))</f>
        <v/>
      </c>
      <c r="H1232">
        <f>IF(ISBLANK(A1232), "", B1232 - E1232 - F1232 - G1232)</f>
        <v/>
      </c>
      <c r="I1232">
        <f>IF(ISBLANK(A1232), "", D1232 - XLOOKUP(A1232, Inventory!A:A, Inventory!H:H, TODAY()))</f>
        <v/>
      </c>
    </row>
    <row r="1233">
      <c r="E1233">
        <f>IF(ISBLANK(A1233), "", XLOOKUP(A1233, Inventory!A:A, Inventory!E:E, 0))</f>
        <v/>
      </c>
      <c r="F1233">
        <f>IF(ISBLANK(A1233), "", (B1233 * XLOOKUP(C1233, 'Fees &amp; Postage Table'!A:A, 'Fees &amp; Postage Table'!C:C, 0)) + XLOOKUP(C1233, 'Fees &amp; Postage Table'!A:A, 'Fees &amp; Postage Table'!B:B, 0))</f>
        <v/>
      </c>
      <c r="G1233">
        <f>IF(ISBLANK(A1233), "", XLOOKUP(C1233, 'Fees &amp; Postage Table'!A:A, 'Fees &amp; Postage Table'!D:D, 0))</f>
        <v/>
      </c>
      <c r="H1233">
        <f>IF(ISBLANK(A1233), "", B1233 - E1233 - F1233 - G1233)</f>
        <v/>
      </c>
      <c r="I1233">
        <f>IF(ISBLANK(A1233), "", D1233 - XLOOKUP(A1233, Inventory!A:A, Inventory!H:H, TODAY()))</f>
        <v/>
      </c>
    </row>
    <row r="1234">
      <c r="E1234">
        <f>IF(ISBLANK(A1234), "", XLOOKUP(A1234, Inventory!A:A, Inventory!E:E, 0))</f>
        <v/>
      </c>
      <c r="F1234">
        <f>IF(ISBLANK(A1234), "", (B1234 * XLOOKUP(C1234, 'Fees &amp; Postage Table'!A:A, 'Fees &amp; Postage Table'!C:C, 0)) + XLOOKUP(C1234, 'Fees &amp; Postage Table'!A:A, 'Fees &amp; Postage Table'!B:B, 0))</f>
        <v/>
      </c>
      <c r="G1234">
        <f>IF(ISBLANK(A1234), "", XLOOKUP(C1234, 'Fees &amp; Postage Table'!A:A, 'Fees &amp; Postage Table'!D:D, 0))</f>
        <v/>
      </c>
      <c r="H1234">
        <f>IF(ISBLANK(A1234), "", B1234 - E1234 - F1234 - G1234)</f>
        <v/>
      </c>
      <c r="I1234">
        <f>IF(ISBLANK(A1234), "", D1234 - XLOOKUP(A1234, Inventory!A:A, Inventory!H:H, TODAY()))</f>
        <v/>
      </c>
    </row>
    <row r="1235">
      <c r="E1235">
        <f>IF(ISBLANK(A1235), "", XLOOKUP(A1235, Inventory!A:A, Inventory!E:E, 0))</f>
        <v/>
      </c>
      <c r="F1235">
        <f>IF(ISBLANK(A1235), "", (B1235 * XLOOKUP(C1235, 'Fees &amp; Postage Table'!A:A, 'Fees &amp; Postage Table'!C:C, 0)) + XLOOKUP(C1235, 'Fees &amp; Postage Table'!A:A, 'Fees &amp; Postage Table'!B:B, 0))</f>
        <v/>
      </c>
      <c r="G1235">
        <f>IF(ISBLANK(A1235), "", XLOOKUP(C1235, 'Fees &amp; Postage Table'!A:A, 'Fees &amp; Postage Table'!D:D, 0))</f>
        <v/>
      </c>
      <c r="H1235">
        <f>IF(ISBLANK(A1235), "", B1235 - E1235 - F1235 - G1235)</f>
        <v/>
      </c>
      <c r="I1235">
        <f>IF(ISBLANK(A1235), "", D1235 - XLOOKUP(A1235, Inventory!A:A, Inventory!H:H, TODAY()))</f>
        <v/>
      </c>
    </row>
    <row r="1236">
      <c r="E1236">
        <f>IF(ISBLANK(A1236), "", XLOOKUP(A1236, Inventory!A:A, Inventory!E:E, 0))</f>
        <v/>
      </c>
      <c r="F1236">
        <f>IF(ISBLANK(A1236), "", (B1236 * XLOOKUP(C1236, 'Fees &amp; Postage Table'!A:A, 'Fees &amp; Postage Table'!C:C, 0)) + XLOOKUP(C1236, 'Fees &amp; Postage Table'!A:A, 'Fees &amp; Postage Table'!B:B, 0))</f>
        <v/>
      </c>
      <c r="G1236">
        <f>IF(ISBLANK(A1236), "", XLOOKUP(C1236, 'Fees &amp; Postage Table'!A:A, 'Fees &amp; Postage Table'!D:D, 0))</f>
        <v/>
      </c>
      <c r="H1236">
        <f>IF(ISBLANK(A1236), "", B1236 - E1236 - F1236 - G1236)</f>
        <v/>
      </c>
      <c r="I1236">
        <f>IF(ISBLANK(A1236), "", D1236 - XLOOKUP(A1236, Inventory!A:A, Inventory!H:H, TODAY()))</f>
        <v/>
      </c>
    </row>
    <row r="1237">
      <c r="E1237">
        <f>IF(ISBLANK(A1237), "", XLOOKUP(A1237, Inventory!A:A, Inventory!E:E, 0))</f>
        <v/>
      </c>
      <c r="F1237">
        <f>IF(ISBLANK(A1237), "", (B1237 * XLOOKUP(C1237, 'Fees &amp; Postage Table'!A:A, 'Fees &amp; Postage Table'!C:C, 0)) + XLOOKUP(C1237, 'Fees &amp; Postage Table'!A:A, 'Fees &amp; Postage Table'!B:B, 0))</f>
        <v/>
      </c>
      <c r="G1237">
        <f>IF(ISBLANK(A1237), "", XLOOKUP(C1237, 'Fees &amp; Postage Table'!A:A, 'Fees &amp; Postage Table'!D:D, 0))</f>
        <v/>
      </c>
      <c r="H1237">
        <f>IF(ISBLANK(A1237), "", B1237 - E1237 - F1237 - G1237)</f>
        <v/>
      </c>
      <c r="I1237">
        <f>IF(ISBLANK(A1237), "", D1237 - XLOOKUP(A1237, Inventory!A:A, Inventory!H:H, TODAY()))</f>
        <v/>
      </c>
    </row>
    <row r="1238">
      <c r="E1238">
        <f>IF(ISBLANK(A1238), "", XLOOKUP(A1238, Inventory!A:A, Inventory!E:E, 0))</f>
        <v/>
      </c>
      <c r="F1238">
        <f>IF(ISBLANK(A1238), "", (B1238 * XLOOKUP(C1238, 'Fees &amp; Postage Table'!A:A, 'Fees &amp; Postage Table'!C:C, 0)) + XLOOKUP(C1238, 'Fees &amp; Postage Table'!A:A, 'Fees &amp; Postage Table'!B:B, 0))</f>
        <v/>
      </c>
      <c r="G1238">
        <f>IF(ISBLANK(A1238), "", XLOOKUP(C1238, 'Fees &amp; Postage Table'!A:A, 'Fees &amp; Postage Table'!D:D, 0))</f>
        <v/>
      </c>
      <c r="H1238">
        <f>IF(ISBLANK(A1238), "", B1238 - E1238 - F1238 - G1238)</f>
        <v/>
      </c>
      <c r="I1238">
        <f>IF(ISBLANK(A1238), "", D1238 - XLOOKUP(A1238, Inventory!A:A, Inventory!H:H, TODAY()))</f>
        <v/>
      </c>
    </row>
    <row r="1239">
      <c r="E1239">
        <f>IF(ISBLANK(A1239), "", XLOOKUP(A1239, Inventory!A:A, Inventory!E:E, 0))</f>
        <v/>
      </c>
      <c r="F1239">
        <f>IF(ISBLANK(A1239), "", (B1239 * XLOOKUP(C1239, 'Fees &amp; Postage Table'!A:A, 'Fees &amp; Postage Table'!C:C, 0)) + XLOOKUP(C1239, 'Fees &amp; Postage Table'!A:A, 'Fees &amp; Postage Table'!B:B, 0))</f>
        <v/>
      </c>
      <c r="G1239">
        <f>IF(ISBLANK(A1239), "", XLOOKUP(C1239, 'Fees &amp; Postage Table'!A:A, 'Fees &amp; Postage Table'!D:D, 0))</f>
        <v/>
      </c>
      <c r="H1239">
        <f>IF(ISBLANK(A1239), "", B1239 - E1239 - F1239 - G1239)</f>
        <v/>
      </c>
      <c r="I1239">
        <f>IF(ISBLANK(A1239), "", D1239 - XLOOKUP(A1239, Inventory!A:A, Inventory!H:H, TODAY()))</f>
        <v/>
      </c>
    </row>
    <row r="1240">
      <c r="E1240">
        <f>IF(ISBLANK(A1240), "", XLOOKUP(A1240, Inventory!A:A, Inventory!E:E, 0))</f>
        <v/>
      </c>
      <c r="F1240">
        <f>IF(ISBLANK(A1240), "", (B1240 * XLOOKUP(C1240, 'Fees &amp; Postage Table'!A:A, 'Fees &amp; Postage Table'!C:C, 0)) + XLOOKUP(C1240, 'Fees &amp; Postage Table'!A:A, 'Fees &amp; Postage Table'!B:B, 0))</f>
        <v/>
      </c>
      <c r="G1240">
        <f>IF(ISBLANK(A1240), "", XLOOKUP(C1240, 'Fees &amp; Postage Table'!A:A, 'Fees &amp; Postage Table'!D:D, 0))</f>
        <v/>
      </c>
      <c r="H1240">
        <f>IF(ISBLANK(A1240), "", B1240 - E1240 - F1240 - G1240)</f>
        <v/>
      </c>
      <c r="I1240">
        <f>IF(ISBLANK(A1240), "", D1240 - XLOOKUP(A1240, Inventory!A:A, Inventory!H:H, TODAY()))</f>
        <v/>
      </c>
    </row>
    <row r="1241">
      <c r="E1241">
        <f>IF(ISBLANK(A1241), "", XLOOKUP(A1241, Inventory!A:A, Inventory!E:E, 0))</f>
        <v/>
      </c>
      <c r="F1241">
        <f>IF(ISBLANK(A1241), "", (B1241 * XLOOKUP(C1241, 'Fees &amp; Postage Table'!A:A, 'Fees &amp; Postage Table'!C:C, 0)) + XLOOKUP(C1241, 'Fees &amp; Postage Table'!A:A, 'Fees &amp; Postage Table'!B:B, 0))</f>
        <v/>
      </c>
      <c r="G1241">
        <f>IF(ISBLANK(A1241), "", XLOOKUP(C1241, 'Fees &amp; Postage Table'!A:A, 'Fees &amp; Postage Table'!D:D, 0))</f>
        <v/>
      </c>
      <c r="H1241">
        <f>IF(ISBLANK(A1241), "", B1241 - E1241 - F1241 - G1241)</f>
        <v/>
      </c>
      <c r="I1241">
        <f>IF(ISBLANK(A1241), "", D1241 - XLOOKUP(A1241, Inventory!A:A, Inventory!H:H, TODAY()))</f>
        <v/>
      </c>
    </row>
    <row r="1242">
      <c r="E1242">
        <f>IF(ISBLANK(A1242), "", XLOOKUP(A1242, Inventory!A:A, Inventory!E:E, 0))</f>
        <v/>
      </c>
      <c r="F1242">
        <f>IF(ISBLANK(A1242), "", (B1242 * XLOOKUP(C1242, 'Fees &amp; Postage Table'!A:A, 'Fees &amp; Postage Table'!C:C, 0)) + XLOOKUP(C1242, 'Fees &amp; Postage Table'!A:A, 'Fees &amp; Postage Table'!B:B, 0))</f>
        <v/>
      </c>
      <c r="G1242">
        <f>IF(ISBLANK(A1242), "", XLOOKUP(C1242, 'Fees &amp; Postage Table'!A:A, 'Fees &amp; Postage Table'!D:D, 0))</f>
        <v/>
      </c>
      <c r="H1242">
        <f>IF(ISBLANK(A1242), "", B1242 - E1242 - F1242 - G1242)</f>
        <v/>
      </c>
      <c r="I1242">
        <f>IF(ISBLANK(A1242), "", D1242 - XLOOKUP(A1242, Inventory!A:A, Inventory!H:H, TODAY()))</f>
        <v/>
      </c>
    </row>
    <row r="1243">
      <c r="E1243">
        <f>IF(ISBLANK(A1243), "", XLOOKUP(A1243, Inventory!A:A, Inventory!E:E, 0))</f>
        <v/>
      </c>
      <c r="F1243">
        <f>IF(ISBLANK(A1243), "", (B1243 * XLOOKUP(C1243, 'Fees &amp; Postage Table'!A:A, 'Fees &amp; Postage Table'!C:C, 0)) + XLOOKUP(C1243, 'Fees &amp; Postage Table'!A:A, 'Fees &amp; Postage Table'!B:B, 0))</f>
        <v/>
      </c>
      <c r="G1243">
        <f>IF(ISBLANK(A1243), "", XLOOKUP(C1243, 'Fees &amp; Postage Table'!A:A, 'Fees &amp; Postage Table'!D:D, 0))</f>
        <v/>
      </c>
      <c r="H1243">
        <f>IF(ISBLANK(A1243), "", B1243 - E1243 - F1243 - G1243)</f>
        <v/>
      </c>
      <c r="I1243">
        <f>IF(ISBLANK(A1243), "", D1243 - XLOOKUP(A1243, Inventory!A:A, Inventory!H:H, TODAY()))</f>
        <v/>
      </c>
    </row>
    <row r="1244">
      <c r="E1244">
        <f>IF(ISBLANK(A1244), "", XLOOKUP(A1244, Inventory!A:A, Inventory!E:E, 0))</f>
        <v/>
      </c>
      <c r="F1244">
        <f>IF(ISBLANK(A1244), "", (B1244 * XLOOKUP(C1244, 'Fees &amp; Postage Table'!A:A, 'Fees &amp; Postage Table'!C:C, 0)) + XLOOKUP(C1244, 'Fees &amp; Postage Table'!A:A, 'Fees &amp; Postage Table'!B:B, 0))</f>
        <v/>
      </c>
      <c r="G1244">
        <f>IF(ISBLANK(A1244), "", XLOOKUP(C1244, 'Fees &amp; Postage Table'!A:A, 'Fees &amp; Postage Table'!D:D, 0))</f>
        <v/>
      </c>
      <c r="H1244">
        <f>IF(ISBLANK(A1244), "", B1244 - E1244 - F1244 - G1244)</f>
        <v/>
      </c>
      <c r="I1244">
        <f>IF(ISBLANK(A1244), "", D1244 - XLOOKUP(A1244, Inventory!A:A, Inventory!H:H, TODAY()))</f>
        <v/>
      </c>
    </row>
    <row r="1245">
      <c r="E1245">
        <f>IF(ISBLANK(A1245), "", XLOOKUP(A1245, Inventory!A:A, Inventory!E:E, 0))</f>
        <v/>
      </c>
      <c r="F1245">
        <f>IF(ISBLANK(A1245), "", (B1245 * XLOOKUP(C1245, 'Fees &amp; Postage Table'!A:A, 'Fees &amp; Postage Table'!C:C, 0)) + XLOOKUP(C1245, 'Fees &amp; Postage Table'!A:A, 'Fees &amp; Postage Table'!B:B, 0))</f>
        <v/>
      </c>
      <c r="G1245">
        <f>IF(ISBLANK(A1245), "", XLOOKUP(C1245, 'Fees &amp; Postage Table'!A:A, 'Fees &amp; Postage Table'!D:D, 0))</f>
        <v/>
      </c>
      <c r="H1245">
        <f>IF(ISBLANK(A1245), "", B1245 - E1245 - F1245 - G1245)</f>
        <v/>
      </c>
      <c r="I1245">
        <f>IF(ISBLANK(A1245), "", D1245 - XLOOKUP(A1245, Inventory!A:A, Inventory!H:H, TODAY()))</f>
        <v/>
      </c>
    </row>
    <row r="1246">
      <c r="E1246">
        <f>IF(ISBLANK(A1246), "", XLOOKUP(A1246, Inventory!A:A, Inventory!E:E, 0))</f>
        <v/>
      </c>
      <c r="F1246">
        <f>IF(ISBLANK(A1246), "", (B1246 * XLOOKUP(C1246, 'Fees &amp; Postage Table'!A:A, 'Fees &amp; Postage Table'!C:C, 0)) + XLOOKUP(C1246, 'Fees &amp; Postage Table'!A:A, 'Fees &amp; Postage Table'!B:B, 0))</f>
        <v/>
      </c>
      <c r="G1246">
        <f>IF(ISBLANK(A1246), "", XLOOKUP(C1246, 'Fees &amp; Postage Table'!A:A, 'Fees &amp; Postage Table'!D:D, 0))</f>
        <v/>
      </c>
      <c r="H1246">
        <f>IF(ISBLANK(A1246), "", B1246 - E1246 - F1246 - G1246)</f>
        <v/>
      </c>
      <c r="I1246">
        <f>IF(ISBLANK(A1246), "", D1246 - XLOOKUP(A1246, Inventory!A:A, Inventory!H:H, TODAY()))</f>
        <v/>
      </c>
    </row>
    <row r="1247">
      <c r="E1247">
        <f>IF(ISBLANK(A1247), "", XLOOKUP(A1247, Inventory!A:A, Inventory!E:E, 0))</f>
        <v/>
      </c>
      <c r="F1247">
        <f>IF(ISBLANK(A1247), "", (B1247 * XLOOKUP(C1247, 'Fees &amp; Postage Table'!A:A, 'Fees &amp; Postage Table'!C:C, 0)) + XLOOKUP(C1247, 'Fees &amp; Postage Table'!A:A, 'Fees &amp; Postage Table'!B:B, 0))</f>
        <v/>
      </c>
      <c r="G1247">
        <f>IF(ISBLANK(A1247), "", XLOOKUP(C1247, 'Fees &amp; Postage Table'!A:A, 'Fees &amp; Postage Table'!D:D, 0))</f>
        <v/>
      </c>
      <c r="H1247">
        <f>IF(ISBLANK(A1247), "", B1247 - E1247 - F1247 - G1247)</f>
        <v/>
      </c>
      <c r="I1247">
        <f>IF(ISBLANK(A1247), "", D1247 - XLOOKUP(A1247, Inventory!A:A, Inventory!H:H, TODAY()))</f>
        <v/>
      </c>
    </row>
    <row r="1248">
      <c r="E1248">
        <f>IF(ISBLANK(A1248), "", XLOOKUP(A1248, Inventory!A:A, Inventory!E:E, 0))</f>
        <v/>
      </c>
      <c r="F1248">
        <f>IF(ISBLANK(A1248), "", (B1248 * XLOOKUP(C1248, 'Fees &amp; Postage Table'!A:A, 'Fees &amp; Postage Table'!C:C, 0)) + XLOOKUP(C1248, 'Fees &amp; Postage Table'!A:A, 'Fees &amp; Postage Table'!B:B, 0))</f>
        <v/>
      </c>
      <c r="G1248">
        <f>IF(ISBLANK(A1248), "", XLOOKUP(C1248, 'Fees &amp; Postage Table'!A:A, 'Fees &amp; Postage Table'!D:D, 0))</f>
        <v/>
      </c>
      <c r="H1248">
        <f>IF(ISBLANK(A1248), "", B1248 - E1248 - F1248 - G1248)</f>
        <v/>
      </c>
      <c r="I1248">
        <f>IF(ISBLANK(A1248), "", D1248 - XLOOKUP(A1248, Inventory!A:A, Inventory!H:H, TODAY()))</f>
        <v/>
      </c>
    </row>
    <row r="1249">
      <c r="E1249">
        <f>IF(ISBLANK(A1249), "", XLOOKUP(A1249, Inventory!A:A, Inventory!E:E, 0))</f>
        <v/>
      </c>
      <c r="F1249">
        <f>IF(ISBLANK(A1249), "", (B1249 * XLOOKUP(C1249, 'Fees &amp; Postage Table'!A:A, 'Fees &amp; Postage Table'!C:C, 0)) + XLOOKUP(C1249, 'Fees &amp; Postage Table'!A:A, 'Fees &amp; Postage Table'!B:B, 0))</f>
        <v/>
      </c>
      <c r="G1249">
        <f>IF(ISBLANK(A1249), "", XLOOKUP(C1249, 'Fees &amp; Postage Table'!A:A, 'Fees &amp; Postage Table'!D:D, 0))</f>
        <v/>
      </c>
      <c r="H1249">
        <f>IF(ISBLANK(A1249), "", B1249 - E1249 - F1249 - G1249)</f>
        <v/>
      </c>
      <c r="I1249">
        <f>IF(ISBLANK(A1249), "", D1249 - XLOOKUP(A1249, Inventory!A:A, Inventory!H:H, TODAY()))</f>
        <v/>
      </c>
    </row>
    <row r="1250">
      <c r="E1250">
        <f>IF(ISBLANK(A1250), "", XLOOKUP(A1250, Inventory!A:A, Inventory!E:E, 0))</f>
        <v/>
      </c>
      <c r="F1250">
        <f>IF(ISBLANK(A1250), "", (B1250 * XLOOKUP(C1250, 'Fees &amp; Postage Table'!A:A, 'Fees &amp; Postage Table'!C:C, 0)) + XLOOKUP(C1250, 'Fees &amp; Postage Table'!A:A, 'Fees &amp; Postage Table'!B:B, 0))</f>
        <v/>
      </c>
      <c r="G1250">
        <f>IF(ISBLANK(A1250), "", XLOOKUP(C1250, 'Fees &amp; Postage Table'!A:A, 'Fees &amp; Postage Table'!D:D, 0))</f>
        <v/>
      </c>
      <c r="H1250">
        <f>IF(ISBLANK(A1250), "", B1250 - E1250 - F1250 - G1250)</f>
        <v/>
      </c>
      <c r="I1250">
        <f>IF(ISBLANK(A1250), "", D1250 - XLOOKUP(A1250, Inventory!A:A, Inventory!H:H, TODAY()))</f>
        <v/>
      </c>
    </row>
    <row r="1251">
      <c r="E1251">
        <f>IF(ISBLANK(A1251), "", XLOOKUP(A1251, Inventory!A:A, Inventory!E:E, 0))</f>
        <v/>
      </c>
      <c r="F1251">
        <f>IF(ISBLANK(A1251), "", (B1251 * XLOOKUP(C1251, 'Fees &amp; Postage Table'!A:A, 'Fees &amp; Postage Table'!C:C, 0)) + XLOOKUP(C1251, 'Fees &amp; Postage Table'!A:A, 'Fees &amp; Postage Table'!B:B, 0))</f>
        <v/>
      </c>
      <c r="G1251">
        <f>IF(ISBLANK(A1251), "", XLOOKUP(C1251, 'Fees &amp; Postage Table'!A:A, 'Fees &amp; Postage Table'!D:D, 0))</f>
        <v/>
      </c>
      <c r="H1251">
        <f>IF(ISBLANK(A1251), "", B1251 - E1251 - F1251 - G1251)</f>
        <v/>
      </c>
      <c r="I1251">
        <f>IF(ISBLANK(A1251), "", D1251 - XLOOKUP(A1251, Inventory!A:A, Inventory!H:H, TODAY()))</f>
        <v/>
      </c>
    </row>
    <row r="1252">
      <c r="E1252">
        <f>IF(ISBLANK(A1252), "", XLOOKUP(A1252, Inventory!A:A, Inventory!E:E, 0))</f>
        <v/>
      </c>
      <c r="F1252">
        <f>IF(ISBLANK(A1252), "", (B1252 * XLOOKUP(C1252, 'Fees &amp; Postage Table'!A:A, 'Fees &amp; Postage Table'!C:C, 0)) + XLOOKUP(C1252, 'Fees &amp; Postage Table'!A:A, 'Fees &amp; Postage Table'!B:B, 0))</f>
        <v/>
      </c>
      <c r="G1252">
        <f>IF(ISBLANK(A1252), "", XLOOKUP(C1252, 'Fees &amp; Postage Table'!A:A, 'Fees &amp; Postage Table'!D:D, 0))</f>
        <v/>
      </c>
      <c r="H1252">
        <f>IF(ISBLANK(A1252), "", B1252 - E1252 - F1252 - G1252)</f>
        <v/>
      </c>
      <c r="I1252">
        <f>IF(ISBLANK(A1252), "", D1252 - XLOOKUP(A1252, Inventory!A:A, Inventory!H:H, TODAY()))</f>
        <v/>
      </c>
    </row>
    <row r="1253">
      <c r="E1253">
        <f>IF(ISBLANK(A1253), "", XLOOKUP(A1253, Inventory!A:A, Inventory!E:E, 0))</f>
        <v/>
      </c>
      <c r="F1253">
        <f>IF(ISBLANK(A1253), "", (B1253 * XLOOKUP(C1253, 'Fees &amp; Postage Table'!A:A, 'Fees &amp; Postage Table'!C:C, 0)) + XLOOKUP(C1253, 'Fees &amp; Postage Table'!A:A, 'Fees &amp; Postage Table'!B:B, 0))</f>
        <v/>
      </c>
      <c r="G1253">
        <f>IF(ISBLANK(A1253), "", XLOOKUP(C1253, 'Fees &amp; Postage Table'!A:A, 'Fees &amp; Postage Table'!D:D, 0))</f>
        <v/>
      </c>
      <c r="H1253">
        <f>IF(ISBLANK(A1253), "", B1253 - E1253 - F1253 - G1253)</f>
        <v/>
      </c>
      <c r="I1253">
        <f>IF(ISBLANK(A1253), "", D1253 - XLOOKUP(A1253, Inventory!A:A, Inventory!H:H, TODAY()))</f>
        <v/>
      </c>
    </row>
    <row r="1254">
      <c r="E1254">
        <f>IF(ISBLANK(A1254), "", XLOOKUP(A1254, Inventory!A:A, Inventory!E:E, 0))</f>
        <v/>
      </c>
      <c r="F1254">
        <f>IF(ISBLANK(A1254), "", (B1254 * XLOOKUP(C1254, 'Fees &amp; Postage Table'!A:A, 'Fees &amp; Postage Table'!C:C, 0)) + XLOOKUP(C1254, 'Fees &amp; Postage Table'!A:A, 'Fees &amp; Postage Table'!B:B, 0))</f>
        <v/>
      </c>
      <c r="G1254">
        <f>IF(ISBLANK(A1254), "", XLOOKUP(C1254, 'Fees &amp; Postage Table'!A:A, 'Fees &amp; Postage Table'!D:D, 0))</f>
        <v/>
      </c>
      <c r="H1254">
        <f>IF(ISBLANK(A1254), "", B1254 - E1254 - F1254 - G1254)</f>
        <v/>
      </c>
      <c r="I1254">
        <f>IF(ISBLANK(A1254), "", D1254 - XLOOKUP(A1254, Inventory!A:A, Inventory!H:H, TODAY()))</f>
        <v/>
      </c>
    </row>
    <row r="1255">
      <c r="E1255">
        <f>IF(ISBLANK(A1255), "", XLOOKUP(A1255, Inventory!A:A, Inventory!E:E, 0))</f>
        <v/>
      </c>
      <c r="F1255">
        <f>IF(ISBLANK(A1255), "", (B1255 * XLOOKUP(C1255, 'Fees &amp; Postage Table'!A:A, 'Fees &amp; Postage Table'!C:C, 0)) + XLOOKUP(C1255, 'Fees &amp; Postage Table'!A:A, 'Fees &amp; Postage Table'!B:B, 0))</f>
        <v/>
      </c>
      <c r="G1255">
        <f>IF(ISBLANK(A1255), "", XLOOKUP(C1255, 'Fees &amp; Postage Table'!A:A, 'Fees &amp; Postage Table'!D:D, 0))</f>
        <v/>
      </c>
      <c r="H1255">
        <f>IF(ISBLANK(A1255), "", B1255 - E1255 - F1255 - G1255)</f>
        <v/>
      </c>
      <c r="I1255">
        <f>IF(ISBLANK(A1255), "", D1255 - XLOOKUP(A1255, Inventory!A:A, Inventory!H:H, TODAY()))</f>
        <v/>
      </c>
    </row>
    <row r="1256">
      <c r="E1256">
        <f>IF(ISBLANK(A1256), "", XLOOKUP(A1256, Inventory!A:A, Inventory!E:E, 0))</f>
        <v/>
      </c>
      <c r="F1256">
        <f>IF(ISBLANK(A1256), "", (B1256 * XLOOKUP(C1256, 'Fees &amp; Postage Table'!A:A, 'Fees &amp; Postage Table'!C:C, 0)) + XLOOKUP(C1256, 'Fees &amp; Postage Table'!A:A, 'Fees &amp; Postage Table'!B:B, 0))</f>
        <v/>
      </c>
      <c r="G1256">
        <f>IF(ISBLANK(A1256), "", XLOOKUP(C1256, 'Fees &amp; Postage Table'!A:A, 'Fees &amp; Postage Table'!D:D, 0))</f>
        <v/>
      </c>
      <c r="H1256">
        <f>IF(ISBLANK(A1256), "", B1256 - E1256 - F1256 - G1256)</f>
        <v/>
      </c>
      <c r="I1256">
        <f>IF(ISBLANK(A1256), "", D1256 - XLOOKUP(A1256, Inventory!A:A, Inventory!H:H, TODAY()))</f>
        <v/>
      </c>
    </row>
    <row r="1257">
      <c r="E1257">
        <f>IF(ISBLANK(A1257), "", XLOOKUP(A1257, Inventory!A:A, Inventory!E:E, 0))</f>
        <v/>
      </c>
      <c r="F1257">
        <f>IF(ISBLANK(A1257), "", (B1257 * XLOOKUP(C1257, 'Fees &amp; Postage Table'!A:A, 'Fees &amp; Postage Table'!C:C, 0)) + XLOOKUP(C1257, 'Fees &amp; Postage Table'!A:A, 'Fees &amp; Postage Table'!B:B, 0))</f>
        <v/>
      </c>
      <c r="G1257">
        <f>IF(ISBLANK(A1257), "", XLOOKUP(C1257, 'Fees &amp; Postage Table'!A:A, 'Fees &amp; Postage Table'!D:D, 0))</f>
        <v/>
      </c>
      <c r="H1257">
        <f>IF(ISBLANK(A1257), "", B1257 - E1257 - F1257 - G1257)</f>
        <v/>
      </c>
      <c r="I1257">
        <f>IF(ISBLANK(A1257), "", D1257 - XLOOKUP(A1257, Inventory!A:A, Inventory!H:H, TODAY()))</f>
        <v/>
      </c>
    </row>
    <row r="1258">
      <c r="E1258">
        <f>IF(ISBLANK(A1258), "", XLOOKUP(A1258, Inventory!A:A, Inventory!E:E, 0))</f>
        <v/>
      </c>
      <c r="F1258">
        <f>IF(ISBLANK(A1258), "", (B1258 * XLOOKUP(C1258, 'Fees &amp; Postage Table'!A:A, 'Fees &amp; Postage Table'!C:C, 0)) + XLOOKUP(C1258, 'Fees &amp; Postage Table'!A:A, 'Fees &amp; Postage Table'!B:B, 0))</f>
        <v/>
      </c>
      <c r="G1258">
        <f>IF(ISBLANK(A1258), "", XLOOKUP(C1258, 'Fees &amp; Postage Table'!A:A, 'Fees &amp; Postage Table'!D:D, 0))</f>
        <v/>
      </c>
      <c r="H1258">
        <f>IF(ISBLANK(A1258), "", B1258 - E1258 - F1258 - G1258)</f>
        <v/>
      </c>
      <c r="I1258">
        <f>IF(ISBLANK(A1258), "", D1258 - XLOOKUP(A1258, Inventory!A:A, Inventory!H:H, TODAY()))</f>
        <v/>
      </c>
    </row>
    <row r="1259">
      <c r="E1259">
        <f>IF(ISBLANK(A1259), "", XLOOKUP(A1259, Inventory!A:A, Inventory!E:E, 0))</f>
        <v/>
      </c>
      <c r="F1259">
        <f>IF(ISBLANK(A1259), "", (B1259 * XLOOKUP(C1259, 'Fees &amp; Postage Table'!A:A, 'Fees &amp; Postage Table'!C:C, 0)) + XLOOKUP(C1259, 'Fees &amp; Postage Table'!A:A, 'Fees &amp; Postage Table'!B:B, 0))</f>
        <v/>
      </c>
      <c r="G1259">
        <f>IF(ISBLANK(A1259), "", XLOOKUP(C1259, 'Fees &amp; Postage Table'!A:A, 'Fees &amp; Postage Table'!D:D, 0))</f>
        <v/>
      </c>
      <c r="H1259">
        <f>IF(ISBLANK(A1259), "", B1259 - E1259 - F1259 - G1259)</f>
        <v/>
      </c>
      <c r="I1259">
        <f>IF(ISBLANK(A1259), "", D1259 - XLOOKUP(A1259, Inventory!A:A, Inventory!H:H, TODAY()))</f>
        <v/>
      </c>
    </row>
    <row r="1260">
      <c r="E1260">
        <f>IF(ISBLANK(A1260), "", XLOOKUP(A1260, Inventory!A:A, Inventory!E:E, 0))</f>
        <v/>
      </c>
      <c r="F1260">
        <f>IF(ISBLANK(A1260), "", (B1260 * XLOOKUP(C1260, 'Fees &amp; Postage Table'!A:A, 'Fees &amp; Postage Table'!C:C, 0)) + XLOOKUP(C1260, 'Fees &amp; Postage Table'!A:A, 'Fees &amp; Postage Table'!B:B, 0))</f>
        <v/>
      </c>
      <c r="G1260">
        <f>IF(ISBLANK(A1260), "", XLOOKUP(C1260, 'Fees &amp; Postage Table'!A:A, 'Fees &amp; Postage Table'!D:D, 0))</f>
        <v/>
      </c>
      <c r="H1260">
        <f>IF(ISBLANK(A1260), "", B1260 - E1260 - F1260 - G1260)</f>
        <v/>
      </c>
      <c r="I1260">
        <f>IF(ISBLANK(A1260), "", D1260 - XLOOKUP(A1260, Inventory!A:A, Inventory!H:H, TODAY()))</f>
        <v/>
      </c>
    </row>
    <row r="1261">
      <c r="E1261">
        <f>IF(ISBLANK(A1261), "", XLOOKUP(A1261, Inventory!A:A, Inventory!E:E, 0))</f>
        <v/>
      </c>
      <c r="F1261">
        <f>IF(ISBLANK(A1261), "", (B1261 * XLOOKUP(C1261, 'Fees &amp; Postage Table'!A:A, 'Fees &amp; Postage Table'!C:C, 0)) + XLOOKUP(C1261, 'Fees &amp; Postage Table'!A:A, 'Fees &amp; Postage Table'!B:B, 0))</f>
        <v/>
      </c>
      <c r="G1261">
        <f>IF(ISBLANK(A1261), "", XLOOKUP(C1261, 'Fees &amp; Postage Table'!A:A, 'Fees &amp; Postage Table'!D:D, 0))</f>
        <v/>
      </c>
      <c r="H1261">
        <f>IF(ISBLANK(A1261), "", B1261 - E1261 - F1261 - G1261)</f>
        <v/>
      </c>
      <c r="I1261">
        <f>IF(ISBLANK(A1261), "", D1261 - XLOOKUP(A1261, Inventory!A:A, Inventory!H:H, TODAY()))</f>
        <v/>
      </c>
    </row>
    <row r="1262">
      <c r="E1262">
        <f>IF(ISBLANK(A1262), "", XLOOKUP(A1262, Inventory!A:A, Inventory!E:E, 0))</f>
        <v/>
      </c>
      <c r="F1262">
        <f>IF(ISBLANK(A1262), "", (B1262 * XLOOKUP(C1262, 'Fees &amp; Postage Table'!A:A, 'Fees &amp; Postage Table'!C:C, 0)) + XLOOKUP(C1262, 'Fees &amp; Postage Table'!A:A, 'Fees &amp; Postage Table'!B:B, 0))</f>
        <v/>
      </c>
      <c r="G1262">
        <f>IF(ISBLANK(A1262), "", XLOOKUP(C1262, 'Fees &amp; Postage Table'!A:A, 'Fees &amp; Postage Table'!D:D, 0))</f>
        <v/>
      </c>
      <c r="H1262">
        <f>IF(ISBLANK(A1262), "", B1262 - E1262 - F1262 - G1262)</f>
        <v/>
      </c>
      <c r="I1262">
        <f>IF(ISBLANK(A1262), "", D1262 - XLOOKUP(A1262, Inventory!A:A, Inventory!H:H, TODAY()))</f>
        <v/>
      </c>
    </row>
    <row r="1263">
      <c r="E1263">
        <f>IF(ISBLANK(A1263), "", XLOOKUP(A1263, Inventory!A:A, Inventory!E:E, 0))</f>
        <v/>
      </c>
      <c r="F1263">
        <f>IF(ISBLANK(A1263), "", (B1263 * XLOOKUP(C1263, 'Fees &amp; Postage Table'!A:A, 'Fees &amp; Postage Table'!C:C, 0)) + XLOOKUP(C1263, 'Fees &amp; Postage Table'!A:A, 'Fees &amp; Postage Table'!B:B, 0))</f>
        <v/>
      </c>
      <c r="G1263">
        <f>IF(ISBLANK(A1263), "", XLOOKUP(C1263, 'Fees &amp; Postage Table'!A:A, 'Fees &amp; Postage Table'!D:D, 0))</f>
        <v/>
      </c>
      <c r="H1263">
        <f>IF(ISBLANK(A1263), "", B1263 - E1263 - F1263 - G1263)</f>
        <v/>
      </c>
      <c r="I1263">
        <f>IF(ISBLANK(A1263), "", D1263 - XLOOKUP(A1263, Inventory!A:A, Inventory!H:H, TODAY()))</f>
        <v/>
      </c>
    </row>
    <row r="1264">
      <c r="E1264">
        <f>IF(ISBLANK(A1264), "", XLOOKUP(A1264, Inventory!A:A, Inventory!E:E, 0))</f>
        <v/>
      </c>
      <c r="F1264">
        <f>IF(ISBLANK(A1264), "", (B1264 * XLOOKUP(C1264, 'Fees &amp; Postage Table'!A:A, 'Fees &amp; Postage Table'!C:C, 0)) + XLOOKUP(C1264, 'Fees &amp; Postage Table'!A:A, 'Fees &amp; Postage Table'!B:B, 0))</f>
        <v/>
      </c>
      <c r="G1264">
        <f>IF(ISBLANK(A1264), "", XLOOKUP(C1264, 'Fees &amp; Postage Table'!A:A, 'Fees &amp; Postage Table'!D:D, 0))</f>
        <v/>
      </c>
      <c r="H1264">
        <f>IF(ISBLANK(A1264), "", B1264 - E1264 - F1264 - G1264)</f>
        <v/>
      </c>
      <c r="I1264">
        <f>IF(ISBLANK(A1264), "", D1264 - XLOOKUP(A1264, Inventory!A:A, Inventory!H:H, TODAY()))</f>
        <v/>
      </c>
    </row>
    <row r="1265">
      <c r="E1265">
        <f>IF(ISBLANK(A1265), "", XLOOKUP(A1265, Inventory!A:A, Inventory!E:E, 0))</f>
        <v/>
      </c>
      <c r="F1265">
        <f>IF(ISBLANK(A1265), "", (B1265 * XLOOKUP(C1265, 'Fees &amp; Postage Table'!A:A, 'Fees &amp; Postage Table'!C:C, 0)) + XLOOKUP(C1265, 'Fees &amp; Postage Table'!A:A, 'Fees &amp; Postage Table'!B:B, 0))</f>
        <v/>
      </c>
      <c r="G1265">
        <f>IF(ISBLANK(A1265), "", XLOOKUP(C1265, 'Fees &amp; Postage Table'!A:A, 'Fees &amp; Postage Table'!D:D, 0))</f>
        <v/>
      </c>
      <c r="H1265">
        <f>IF(ISBLANK(A1265), "", B1265 - E1265 - F1265 - G1265)</f>
        <v/>
      </c>
      <c r="I1265">
        <f>IF(ISBLANK(A1265), "", D1265 - XLOOKUP(A1265, Inventory!A:A, Inventory!H:H, TODAY()))</f>
        <v/>
      </c>
    </row>
    <row r="1266">
      <c r="E1266">
        <f>IF(ISBLANK(A1266), "", XLOOKUP(A1266, Inventory!A:A, Inventory!E:E, 0))</f>
        <v/>
      </c>
      <c r="F1266">
        <f>IF(ISBLANK(A1266), "", (B1266 * XLOOKUP(C1266, 'Fees &amp; Postage Table'!A:A, 'Fees &amp; Postage Table'!C:C, 0)) + XLOOKUP(C1266, 'Fees &amp; Postage Table'!A:A, 'Fees &amp; Postage Table'!B:B, 0))</f>
        <v/>
      </c>
      <c r="G1266">
        <f>IF(ISBLANK(A1266), "", XLOOKUP(C1266, 'Fees &amp; Postage Table'!A:A, 'Fees &amp; Postage Table'!D:D, 0))</f>
        <v/>
      </c>
      <c r="H1266">
        <f>IF(ISBLANK(A1266), "", B1266 - E1266 - F1266 - G1266)</f>
        <v/>
      </c>
      <c r="I1266">
        <f>IF(ISBLANK(A1266), "", D1266 - XLOOKUP(A1266, Inventory!A:A, Inventory!H:H, TODAY()))</f>
        <v/>
      </c>
    </row>
    <row r="1267">
      <c r="E1267">
        <f>IF(ISBLANK(A1267), "", XLOOKUP(A1267, Inventory!A:A, Inventory!E:E, 0))</f>
        <v/>
      </c>
      <c r="F1267">
        <f>IF(ISBLANK(A1267), "", (B1267 * XLOOKUP(C1267, 'Fees &amp; Postage Table'!A:A, 'Fees &amp; Postage Table'!C:C, 0)) + XLOOKUP(C1267, 'Fees &amp; Postage Table'!A:A, 'Fees &amp; Postage Table'!B:B, 0))</f>
        <v/>
      </c>
      <c r="G1267">
        <f>IF(ISBLANK(A1267), "", XLOOKUP(C1267, 'Fees &amp; Postage Table'!A:A, 'Fees &amp; Postage Table'!D:D, 0))</f>
        <v/>
      </c>
      <c r="H1267">
        <f>IF(ISBLANK(A1267), "", B1267 - E1267 - F1267 - G1267)</f>
        <v/>
      </c>
      <c r="I1267">
        <f>IF(ISBLANK(A1267), "", D1267 - XLOOKUP(A1267, Inventory!A:A, Inventory!H:H, TODAY()))</f>
        <v/>
      </c>
    </row>
    <row r="1268">
      <c r="E1268">
        <f>IF(ISBLANK(A1268), "", XLOOKUP(A1268, Inventory!A:A, Inventory!E:E, 0))</f>
        <v/>
      </c>
      <c r="F1268">
        <f>IF(ISBLANK(A1268), "", (B1268 * XLOOKUP(C1268, 'Fees &amp; Postage Table'!A:A, 'Fees &amp; Postage Table'!C:C, 0)) + XLOOKUP(C1268, 'Fees &amp; Postage Table'!A:A, 'Fees &amp; Postage Table'!B:B, 0))</f>
        <v/>
      </c>
      <c r="G1268">
        <f>IF(ISBLANK(A1268), "", XLOOKUP(C1268, 'Fees &amp; Postage Table'!A:A, 'Fees &amp; Postage Table'!D:D, 0))</f>
        <v/>
      </c>
      <c r="H1268">
        <f>IF(ISBLANK(A1268), "", B1268 - E1268 - F1268 - G1268)</f>
        <v/>
      </c>
      <c r="I1268">
        <f>IF(ISBLANK(A1268), "", D1268 - XLOOKUP(A1268, Inventory!A:A, Inventory!H:H, TODAY()))</f>
        <v/>
      </c>
    </row>
    <row r="1269">
      <c r="E1269">
        <f>IF(ISBLANK(A1269), "", XLOOKUP(A1269, Inventory!A:A, Inventory!E:E, 0))</f>
        <v/>
      </c>
      <c r="F1269">
        <f>IF(ISBLANK(A1269), "", (B1269 * XLOOKUP(C1269, 'Fees &amp; Postage Table'!A:A, 'Fees &amp; Postage Table'!C:C, 0)) + XLOOKUP(C1269, 'Fees &amp; Postage Table'!A:A, 'Fees &amp; Postage Table'!B:B, 0))</f>
        <v/>
      </c>
      <c r="G1269">
        <f>IF(ISBLANK(A1269), "", XLOOKUP(C1269, 'Fees &amp; Postage Table'!A:A, 'Fees &amp; Postage Table'!D:D, 0))</f>
        <v/>
      </c>
      <c r="H1269">
        <f>IF(ISBLANK(A1269), "", B1269 - E1269 - F1269 - G1269)</f>
        <v/>
      </c>
      <c r="I1269">
        <f>IF(ISBLANK(A1269), "", D1269 - XLOOKUP(A1269, Inventory!A:A, Inventory!H:H, TODAY()))</f>
        <v/>
      </c>
    </row>
    <row r="1270">
      <c r="E1270">
        <f>IF(ISBLANK(A1270), "", XLOOKUP(A1270, Inventory!A:A, Inventory!E:E, 0))</f>
        <v/>
      </c>
      <c r="F1270">
        <f>IF(ISBLANK(A1270), "", (B1270 * XLOOKUP(C1270, 'Fees &amp; Postage Table'!A:A, 'Fees &amp; Postage Table'!C:C, 0)) + XLOOKUP(C1270, 'Fees &amp; Postage Table'!A:A, 'Fees &amp; Postage Table'!B:B, 0))</f>
        <v/>
      </c>
      <c r="G1270">
        <f>IF(ISBLANK(A1270), "", XLOOKUP(C1270, 'Fees &amp; Postage Table'!A:A, 'Fees &amp; Postage Table'!D:D, 0))</f>
        <v/>
      </c>
      <c r="H1270">
        <f>IF(ISBLANK(A1270), "", B1270 - E1270 - F1270 - G1270)</f>
        <v/>
      </c>
      <c r="I1270">
        <f>IF(ISBLANK(A1270), "", D1270 - XLOOKUP(A1270, Inventory!A:A, Inventory!H:H, TODAY()))</f>
        <v/>
      </c>
    </row>
    <row r="1271">
      <c r="E1271">
        <f>IF(ISBLANK(A1271), "", XLOOKUP(A1271, Inventory!A:A, Inventory!E:E, 0))</f>
        <v/>
      </c>
      <c r="F1271">
        <f>IF(ISBLANK(A1271), "", (B1271 * XLOOKUP(C1271, 'Fees &amp; Postage Table'!A:A, 'Fees &amp; Postage Table'!C:C, 0)) + XLOOKUP(C1271, 'Fees &amp; Postage Table'!A:A, 'Fees &amp; Postage Table'!B:B, 0))</f>
        <v/>
      </c>
      <c r="G1271">
        <f>IF(ISBLANK(A1271), "", XLOOKUP(C1271, 'Fees &amp; Postage Table'!A:A, 'Fees &amp; Postage Table'!D:D, 0))</f>
        <v/>
      </c>
      <c r="H1271">
        <f>IF(ISBLANK(A1271), "", B1271 - E1271 - F1271 - G1271)</f>
        <v/>
      </c>
      <c r="I1271">
        <f>IF(ISBLANK(A1271), "", D1271 - XLOOKUP(A1271, Inventory!A:A, Inventory!H:H, TODAY()))</f>
        <v/>
      </c>
    </row>
    <row r="1272">
      <c r="E1272">
        <f>IF(ISBLANK(A1272), "", XLOOKUP(A1272, Inventory!A:A, Inventory!E:E, 0))</f>
        <v/>
      </c>
      <c r="F1272">
        <f>IF(ISBLANK(A1272), "", (B1272 * XLOOKUP(C1272, 'Fees &amp; Postage Table'!A:A, 'Fees &amp; Postage Table'!C:C, 0)) + XLOOKUP(C1272, 'Fees &amp; Postage Table'!A:A, 'Fees &amp; Postage Table'!B:B, 0))</f>
        <v/>
      </c>
      <c r="G1272">
        <f>IF(ISBLANK(A1272), "", XLOOKUP(C1272, 'Fees &amp; Postage Table'!A:A, 'Fees &amp; Postage Table'!D:D, 0))</f>
        <v/>
      </c>
      <c r="H1272">
        <f>IF(ISBLANK(A1272), "", B1272 - E1272 - F1272 - G1272)</f>
        <v/>
      </c>
      <c r="I1272">
        <f>IF(ISBLANK(A1272), "", D1272 - XLOOKUP(A1272, Inventory!A:A, Inventory!H:H, TODAY()))</f>
        <v/>
      </c>
    </row>
    <row r="1273">
      <c r="E1273">
        <f>IF(ISBLANK(A1273), "", XLOOKUP(A1273, Inventory!A:A, Inventory!E:E, 0))</f>
        <v/>
      </c>
      <c r="F1273">
        <f>IF(ISBLANK(A1273), "", (B1273 * XLOOKUP(C1273, 'Fees &amp; Postage Table'!A:A, 'Fees &amp; Postage Table'!C:C, 0)) + XLOOKUP(C1273, 'Fees &amp; Postage Table'!A:A, 'Fees &amp; Postage Table'!B:B, 0))</f>
        <v/>
      </c>
      <c r="G1273">
        <f>IF(ISBLANK(A1273), "", XLOOKUP(C1273, 'Fees &amp; Postage Table'!A:A, 'Fees &amp; Postage Table'!D:D, 0))</f>
        <v/>
      </c>
      <c r="H1273">
        <f>IF(ISBLANK(A1273), "", B1273 - E1273 - F1273 - G1273)</f>
        <v/>
      </c>
      <c r="I1273">
        <f>IF(ISBLANK(A1273), "", D1273 - XLOOKUP(A1273, Inventory!A:A, Inventory!H:H, TODAY()))</f>
        <v/>
      </c>
    </row>
    <row r="1274">
      <c r="E1274">
        <f>IF(ISBLANK(A1274), "", XLOOKUP(A1274, Inventory!A:A, Inventory!E:E, 0))</f>
        <v/>
      </c>
      <c r="F1274">
        <f>IF(ISBLANK(A1274), "", (B1274 * XLOOKUP(C1274, 'Fees &amp; Postage Table'!A:A, 'Fees &amp; Postage Table'!C:C, 0)) + XLOOKUP(C1274, 'Fees &amp; Postage Table'!A:A, 'Fees &amp; Postage Table'!B:B, 0))</f>
        <v/>
      </c>
      <c r="G1274">
        <f>IF(ISBLANK(A1274), "", XLOOKUP(C1274, 'Fees &amp; Postage Table'!A:A, 'Fees &amp; Postage Table'!D:D, 0))</f>
        <v/>
      </c>
      <c r="H1274">
        <f>IF(ISBLANK(A1274), "", B1274 - E1274 - F1274 - G1274)</f>
        <v/>
      </c>
      <c r="I1274">
        <f>IF(ISBLANK(A1274), "", D1274 - XLOOKUP(A1274, Inventory!A:A, Inventory!H:H, TODAY()))</f>
        <v/>
      </c>
    </row>
    <row r="1275">
      <c r="E1275">
        <f>IF(ISBLANK(A1275), "", XLOOKUP(A1275, Inventory!A:A, Inventory!E:E, 0))</f>
        <v/>
      </c>
      <c r="F1275">
        <f>IF(ISBLANK(A1275), "", (B1275 * XLOOKUP(C1275, 'Fees &amp; Postage Table'!A:A, 'Fees &amp; Postage Table'!C:C, 0)) + XLOOKUP(C1275, 'Fees &amp; Postage Table'!A:A, 'Fees &amp; Postage Table'!B:B, 0))</f>
        <v/>
      </c>
      <c r="G1275">
        <f>IF(ISBLANK(A1275), "", XLOOKUP(C1275, 'Fees &amp; Postage Table'!A:A, 'Fees &amp; Postage Table'!D:D, 0))</f>
        <v/>
      </c>
      <c r="H1275">
        <f>IF(ISBLANK(A1275), "", B1275 - E1275 - F1275 - G1275)</f>
        <v/>
      </c>
      <c r="I1275">
        <f>IF(ISBLANK(A1275), "", D1275 - XLOOKUP(A1275, Inventory!A:A, Inventory!H:H, TODAY()))</f>
        <v/>
      </c>
    </row>
    <row r="1276">
      <c r="E1276">
        <f>IF(ISBLANK(A1276), "", XLOOKUP(A1276, Inventory!A:A, Inventory!E:E, 0))</f>
        <v/>
      </c>
      <c r="F1276">
        <f>IF(ISBLANK(A1276), "", (B1276 * XLOOKUP(C1276, 'Fees &amp; Postage Table'!A:A, 'Fees &amp; Postage Table'!C:C, 0)) + XLOOKUP(C1276, 'Fees &amp; Postage Table'!A:A, 'Fees &amp; Postage Table'!B:B, 0))</f>
        <v/>
      </c>
      <c r="G1276">
        <f>IF(ISBLANK(A1276), "", XLOOKUP(C1276, 'Fees &amp; Postage Table'!A:A, 'Fees &amp; Postage Table'!D:D, 0))</f>
        <v/>
      </c>
      <c r="H1276">
        <f>IF(ISBLANK(A1276), "", B1276 - E1276 - F1276 - G1276)</f>
        <v/>
      </c>
      <c r="I1276">
        <f>IF(ISBLANK(A1276), "", D1276 - XLOOKUP(A1276, Inventory!A:A, Inventory!H:H, TODAY()))</f>
        <v/>
      </c>
    </row>
    <row r="1277">
      <c r="E1277">
        <f>IF(ISBLANK(A1277), "", XLOOKUP(A1277, Inventory!A:A, Inventory!E:E, 0))</f>
        <v/>
      </c>
      <c r="F1277">
        <f>IF(ISBLANK(A1277), "", (B1277 * XLOOKUP(C1277, 'Fees &amp; Postage Table'!A:A, 'Fees &amp; Postage Table'!C:C, 0)) + XLOOKUP(C1277, 'Fees &amp; Postage Table'!A:A, 'Fees &amp; Postage Table'!B:B, 0))</f>
        <v/>
      </c>
      <c r="G1277">
        <f>IF(ISBLANK(A1277), "", XLOOKUP(C1277, 'Fees &amp; Postage Table'!A:A, 'Fees &amp; Postage Table'!D:D, 0))</f>
        <v/>
      </c>
      <c r="H1277">
        <f>IF(ISBLANK(A1277), "", B1277 - E1277 - F1277 - G1277)</f>
        <v/>
      </c>
      <c r="I1277">
        <f>IF(ISBLANK(A1277), "", D1277 - XLOOKUP(A1277, Inventory!A:A, Inventory!H:H, TODAY()))</f>
        <v/>
      </c>
    </row>
    <row r="1278">
      <c r="E1278">
        <f>IF(ISBLANK(A1278), "", XLOOKUP(A1278, Inventory!A:A, Inventory!E:E, 0))</f>
        <v/>
      </c>
      <c r="F1278">
        <f>IF(ISBLANK(A1278), "", (B1278 * XLOOKUP(C1278, 'Fees &amp; Postage Table'!A:A, 'Fees &amp; Postage Table'!C:C, 0)) + XLOOKUP(C1278, 'Fees &amp; Postage Table'!A:A, 'Fees &amp; Postage Table'!B:B, 0))</f>
        <v/>
      </c>
      <c r="G1278">
        <f>IF(ISBLANK(A1278), "", XLOOKUP(C1278, 'Fees &amp; Postage Table'!A:A, 'Fees &amp; Postage Table'!D:D, 0))</f>
        <v/>
      </c>
      <c r="H1278">
        <f>IF(ISBLANK(A1278), "", B1278 - E1278 - F1278 - G1278)</f>
        <v/>
      </c>
      <c r="I1278">
        <f>IF(ISBLANK(A1278), "", D1278 - XLOOKUP(A1278, Inventory!A:A, Inventory!H:H, TODAY()))</f>
        <v/>
      </c>
    </row>
    <row r="1279">
      <c r="E1279">
        <f>IF(ISBLANK(A1279), "", XLOOKUP(A1279, Inventory!A:A, Inventory!E:E, 0))</f>
        <v/>
      </c>
      <c r="F1279">
        <f>IF(ISBLANK(A1279), "", (B1279 * XLOOKUP(C1279, 'Fees &amp; Postage Table'!A:A, 'Fees &amp; Postage Table'!C:C, 0)) + XLOOKUP(C1279, 'Fees &amp; Postage Table'!A:A, 'Fees &amp; Postage Table'!B:B, 0))</f>
        <v/>
      </c>
      <c r="G1279">
        <f>IF(ISBLANK(A1279), "", XLOOKUP(C1279, 'Fees &amp; Postage Table'!A:A, 'Fees &amp; Postage Table'!D:D, 0))</f>
        <v/>
      </c>
      <c r="H1279">
        <f>IF(ISBLANK(A1279), "", B1279 - E1279 - F1279 - G1279)</f>
        <v/>
      </c>
      <c r="I1279">
        <f>IF(ISBLANK(A1279), "", D1279 - XLOOKUP(A1279, Inventory!A:A, Inventory!H:H, TODAY()))</f>
        <v/>
      </c>
    </row>
    <row r="1280">
      <c r="E1280">
        <f>IF(ISBLANK(A1280), "", XLOOKUP(A1280, Inventory!A:A, Inventory!E:E, 0))</f>
        <v/>
      </c>
      <c r="F1280">
        <f>IF(ISBLANK(A1280), "", (B1280 * XLOOKUP(C1280, 'Fees &amp; Postage Table'!A:A, 'Fees &amp; Postage Table'!C:C, 0)) + XLOOKUP(C1280, 'Fees &amp; Postage Table'!A:A, 'Fees &amp; Postage Table'!B:B, 0))</f>
        <v/>
      </c>
      <c r="G1280">
        <f>IF(ISBLANK(A1280), "", XLOOKUP(C1280, 'Fees &amp; Postage Table'!A:A, 'Fees &amp; Postage Table'!D:D, 0))</f>
        <v/>
      </c>
      <c r="H1280">
        <f>IF(ISBLANK(A1280), "", B1280 - E1280 - F1280 - G1280)</f>
        <v/>
      </c>
      <c r="I1280">
        <f>IF(ISBLANK(A1280), "", D1280 - XLOOKUP(A1280, Inventory!A:A, Inventory!H:H, TODAY()))</f>
        <v/>
      </c>
    </row>
    <row r="1281">
      <c r="E1281">
        <f>IF(ISBLANK(A1281), "", XLOOKUP(A1281, Inventory!A:A, Inventory!E:E, 0))</f>
        <v/>
      </c>
      <c r="F1281">
        <f>IF(ISBLANK(A1281), "", (B1281 * XLOOKUP(C1281, 'Fees &amp; Postage Table'!A:A, 'Fees &amp; Postage Table'!C:C, 0)) + XLOOKUP(C1281, 'Fees &amp; Postage Table'!A:A, 'Fees &amp; Postage Table'!B:B, 0))</f>
        <v/>
      </c>
      <c r="G1281">
        <f>IF(ISBLANK(A1281), "", XLOOKUP(C1281, 'Fees &amp; Postage Table'!A:A, 'Fees &amp; Postage Table'!D:D, 0))</f>
        <v/>
      </c>
      <c r="H1281">
        <f>IF(ISBLANK(A1281), "", B1281 - E1281 - F1281 - G1281)</f>
        <v/>
      </c>
      <c r="I1281">
        <f>IF(ISBLANK(A1281), "", D1281 - XLOOKUP(A1281, Inventory!A:A, Inventory!H:H, TODAY()))</f>
        <v/>
      </c>
    </row>
    <row r="1282">
      <c r="E1282">
        <f>IF(ISBLANK(A1282), "", XLOOKUP(A1282, Inventory!A:A, Inventory!E:E, 0))</f>
        <v/>
      </c>
      <c r="F1282">
        <f>IF(ISBLANK(A1282), "", (B1282 * XLOOKUP(C1282, 'Fees &amp; Postage Table'!A:A, 'Fees &amp; Postage Table'!C:C, 0)) + XLOOKUP(C1282, 'Fees &amp; Postage Table'!A:A, 'Fees &amp; Postage Table'!B:B, 0))</f>
        <v/>
      </c>
      <c r="G1282">
        <f>IF(ISBLANK(A1282), "", XLOOKUP(C1282, 'Fees &amp; Postage Table'!A:A, 'Fees &amp; Postage Table'!D:D, 0))</f>
        <v/>
      </c>
      <c r="H1282">
        <f>IF(ISBLANK(A1282), "", B1282 - E1282 - F1282 - G1282)</f>
        <v/>
      </c>
      <c r="I1282">
        <f>IF(ISBLANK(A1282), "", D1282 - XLOOKUP(A1282, Inventory!A:A, Inventory!H:H, TODAY()))</f>
        <v/>
      </c>
    </row>
    <row r="1283">
      <c r="E1283">
        <f>IF(ISBLANK(A1283), "", XLOOKUP(A1283, Inventory!A:A, Inventory!E:E, 0))</f>
        <v/>
      </c>
      <c r="F1283">
        <f>IF(ISBLANK(A1283), "", (B1283 * XLOOKUP(C1283, 'Fees &amp; Postage Table'!A:A, 'Fees &amp; Postage Table'!C:C, 0)) + XLOOKUP(C1283, 'Fees &amp; Postage Table'!A:A, 'Fees &amp; Postage Table'!B:B, 0))</f>
        <v/>
      </c>
      <c r="G1283">
        <f>IF(ISBLANK(A1283), "", XLOOKUP(C1283, 'Fees &amp; Postage Table'!A:A, 'Fees &amp; Postage Table'!D:D, 0))</f>
        <v/>
      </c>
      <c r="H1283">
        <f>IF(ISBLANK(A1283), "", B1283 - E1283 - F1283 - G1283)</f>
        <v/>
      </c>
      <c r="I1283">
        <f>IF(ISBLANK(A1283), "", D1283 - XLOOKUP(A1283, Inventory!A:A, Inventory!H:H, TODAY()))</f>
        <v/>
      </c>
    </row>
    <row r="1284">
      <c r="E1284">
        <f>IF(ISBLANK(A1284), "", XLOOKUP(A1284, Inventory!A:A, Inventory!E:E, 0))</f>
        <v/>
      </c>
      <c r="F1284">
        <f>IF(ISBLANK(A1284), "", (B1284 * XLOOKUP(C1284, 'Fees &amp; Postage Table'!A:A, 'Fees &amp; Postage Table'!C:C, 0)) + XLOOKUP(C1284, 'Fees &amp; Postage Table'!A:A, 'Fees &amp; Postage Table'!B:B, 0))</f>
        <v/>
      </c>
      <c r="G1284">
        <f>IF(ISBLANK(A1284), "", XLOOKUP(C1284, 'Fees &amp; Postage Table'!A:A, 'Fees &amp; Postage Table'!D:D, 0))</f>
        <v/>
      </c>
      <c r="H1284">
        <f>IF(ISBLANK(A1284), "", B1284 - E1284 - F1284 - G1284)</f>
        <v/>
      </c>
      <c r="I1284">
        <f>IF(ISBLANK(A1284), "", D1284 - XLOOKUP(A1284, Inventory!A:A, Inventory!H:H, TODAY()))</f>
        <v/>
      </c>
    </row>
    <row r="1285">
      <c r="E1285">
        <f>IF(ISBLANK(A1285), "", XLOOKUP(A1285, Inventory!A:A, Inventory!E:E, 0))</f>
        <v/>
      </c>
      <c r="F1285">
        <f>IF(ISBLANK(A1285), "", (B1285 * XLOOKUP(C1285, 'Fees &amp; Postage Table'!A:A, 'Fees &amp; Postage Table'!C:C, 0)) + XLOOKUP(C1285, 'Fees &amp; Postage Table'!A:A, 'Fees &amp; Postage Table'!B:B, 0))</f>
        <v/>
      </c>
      <c r="G1285">
        <f>IF(ISBLANK(A1285), "", XLOOKUP(C1285, 'Fees &amp; Postage Table'!A:A, 'Fees &amp; Postage Table'!D:D, 0))</f>
        <v/>
      </c>
      <c r="H1285">
        <f>IF(ISBLANK(A1285), "", B1285 - E1285 - F1285 - G1285)</f>
        <v/>
      </c>
      <c r="I1285">
        <f>IF(ISBLANK(A1285), "", D1285 - XLOOKUP(A1285, Inventory!A:A, Inventory!H:H, TODAY()))</f>
        <v/>
      </c>
    </row>
    <row r="1286">
      <c r="E1286">
        <f>IF(ISBLANK(A1286), "", XLOOKUP(A1286, Inventory!A:A, Inventory!E:E, 0))</f>
        <v/>
      </c>
      <c r="F1286">
        <f>IF(ISBLANK(A1286), "", (B1286 * XLOOKUP(C1286, 'Fees &amp; Postage Table'!A:A, 'Fees &amp; Postage Table'!C:C, 0)) + XLOOKUP(C1286, 'Fees &amp; Postage Table'!A:A, 'Fees &amp; Postage Table'!B:B, 0))</f>
        <v/>
      </c>
      <c r="G1286">
        <f>IF(ISBLANK(A1286), "", XLOOKUP(C1286, 'Fees &amp; Postage Table'!A:A, 'Fees &amp; Postage Table'!D:D, 0))</f>
        <v/>
      </c>
      <c r="H1286">
        <f>IF(ISBLANK(A1286), "", B1286 - E1286 - F1286 - G1286)</f>
        <v/>
      </c>
      <c r="I1286">
        <f>IF(ISBLANK(A1286), "", D1286 - XLOOKUP(A1286, Inventory!A:A, Inventory!H:H, TODAY()))</f>
        <v/>
      </c>
    </row>
    <row r="1287">
      <c r="E1287">
        <f>IF(ISBLANK(A1287), "", XLOOKUP(A1287, Inventory!A:A, Inventory!E:E, 0))</f>
        <v/>
      </c>
      <c r="F1287">
        <f>IF(ISBLANK(A1287), "", (B1287 * XLOOKUP(C1287, 'Fees &amp; Postage Table'!A:A, 'Fees &amp; Postage Table'!C:C, 0)) + XLOOKUP(C1287, 'Fees &amp; Postage Table'!A:A, 'Fees &amp; Postage Table'!B:B, 0))</f>
        <v/>
      </c>
      <c r="G1287">
        <f>IF(ISBLANK(A1287), "", XLOOKUP(C1287, 'Fees &amp; Postage Table'!A:A, 'Fees &amp; Postage Table'!D:D, 0))</f>
        <v/>
      </c>
      <c r="H1287">
        <f>IF(ISBLANK(A1287), "", B1287 - E1287 - F1287 - G1287)</f>
        <v/>
      </c>
      <c r="I1287">
        <f>IF(ISBLANK(A1287), "", D1287 - XLOOKUP(A1287, Inventory!A:A, Inventory!H:H, TODAY()))</f>
        <v/>
      </c>
    </row>
    <row r="1288">
      <c r="E1288">
        <f>IF(ISBLANK(A1288), "", XLOOKUP(A1288, Inventory!A:A, Inventory!E:E, 0))</f>
        <v/>
      </c>
      <c r="F1288">
        <f>IF(ISBLANK(A1288), "", (B1288 * XLOOKUP(C1288, 'Fees &amp; Postage Table'!A:A, 'Fees &amp; Postage Table'!C:C, 0)) + XLOOKUP(C1288, 'Fees &amp; Postage Table'!A:A, 'Fees &amp; Postage Table'!B:B, 0))</f>
        <v/>
      </c>
      <c r="G1288">
        <f>IF(ISBLANK(A1288), "", XLOOKUP(C1288, 'Fees &amp; Postage Table'!A:A, 'Fees &amp; Postage Table'!D:D, 0))</f>
        <v/>
      </c>
      <c r="H1288">
        <f>IF(ISBLANK(A1288), "", B1288 - E1288 - F1288 - G1288)</f>
        <v/>
      </c>
      <c r="I1288">
        <f>IF(ISBLANK(A1288), "", D1288 - XLOOKUP(A1288, Inventory!A:A, Inventory!H:H, TODAY()))</f>
        <v/>
      </c>
    </row>
    <row r="1289">
      <c r="E1289">
        <f>IF(ISBLANK(A1289), "", XLOOKUP(A1289, Inventory!A:A, Inventory!E:E, 0))</f>
        <v/>
      </c>
      <c r="F1289">
        <f>IF(ISBLANK(A1289), "", (B1289 * XLOOKUP(C1289, 'Fees &amp; Postage Table'!A:A, 'Fees &amp; Postage Table'!C:C, 0)) + XLOOKUP(C1289, 'Fees &amp; Postage Table'!A:A, 'Fees &amp; Postage Table'!B:B, 0))</f>
        <v/>
      </c>
      <c r="G1289">
        <f>IF(ISBLANK(A1289), "", XLOOKUP(C1289, 'Fees &amp; Postage Table'!A:A, 'Fees &amp; Postage Table'!D:D, 0))</f>
        <v/>
      </c>
      <c r="H1289">
        <f>IF(ISBLANK(A1289), "", B1289 - E1289 - F1289 - G1289)</f>
        <v/>
      </c>
      <c r="I1289">
        <f>IF(ISBLANK(A1289), "", D1289 - XLOOKUP(A1289, Inventory!A:A, Inventory!H:H, TODAY()))</f>
        <v/>
      </c>
    </row>
    <row r="1290">
      <c r="E1290">
        <f>IF(ISBLANK(A1290), "", XLOOKUP(A1290, Inventory!A:A, Inventory!E:E, 0))</f>
        <v/>
      </c>
      <c r="F1290">
        <f>IF(ISBLANK(A1290), "", (B1290 * XLOOKUP(C1290, 'Fees &amp; Postage Table'!A:A, 'Fees &amp; Postage Table'!C:C, 0)) + XLOOKUP(C1290, 'Fees &amp; Postage Table'!A:A, 'Fees &amp; Postage Table'!B:B, 0))</f>
        <v/>
      </c>
      <c r="G1290">
        <f>IF(ISBLANK(A1290), "", XLOOKUP(C1290, 'Fees &amp; Postage Table'!A:A, 'Fees &amp; Postage Table'!D:D, 0))</f>
        <v/>
      </c>
      <c r="H1290">
        <f>IF(ISBLANK(A1290), "", B1290 - E1290 - F1290 - G1290)</f>
        <v/>
      </c>
      <c r="I1290">
        <f>IF(ISBLANK(A1290), "", D1290 - XLOOKUP(A1290, Inventory!A:A, Inventory!H:H, TODAY()))</f>
        <v/>
      </c>
    </row>
    <row r="1291">
      <c r="E1291">
        <f>IF(ISBLANK(A1291), "", XLOOKUP(A1291, Inventory!A:A, Inventory!E:E, 0))</f>
        <v/>
      </c>
      <c r="F1291">
        <f>IF(ISBLANK(A1291), "", (B1291 * XLOOKUP(C1291, 'Fees &amp; Postage Table'!A:A, 'Fees &amp; Postage Table'!C:C, 0)) + XLOOKUP(C1291, 'Fees &amp; Postage Table'!A:A, 'Fees &amp; Postage Table'!B:B, 0))</f>
        <v/>
      </c>
      <c r="G1291">
        <f>IF(ISBLANK(A1291), "", XLOOKUP(C1291, 'Fees &amp; Postage Table'!A:A, 'Fees &amp; Postage Table'!D:D, 0))</f>
        <v/>
      </c>
      <c r="H1291">
        <f>IF(ISBLANK(A1291), "", B1291 - E1291 - F1291 - G1291)</f>
        <v/>
      </c>
      <c r="I1291">
        <f>IF(ISBLANK(A1291), "", D1291 - XLOOKUP(A1291, Inventory!A:A, Inventory!H:H, TODAY()))</f>
        <v/>
      </c>
    </row>
    <row r="1292">
      <c r="E1292">
        <f>IF(ISBLANK(A1292), "", XLOOKUP(A1292, Inventory!A:A, Inventory!E:E, 0))</f>
        <v/>
      </c>
      <c r="F1292">
        <f>IF(ISBLANK(A1292), "", (B1292 * XLOOKUP(C1292, 'Fees &amp; Postage Table'!A:A, 'Fees &amp; Postage Table'!C:C, 0)) + XLOOKUP(C1292, 'Fees &amp; Postage Table'!A:A, 'Fees &amp; Postage Table'!B:B, 0))</f>
        <v/>
      </c>
      <c r="G1292">
        <f>IF(ISBLANK(A1292), "", XLOOKUP(C1292, 'Fees &amp; Postage Table'!A:A, 'Fees &amp; Postage Table'!D:D, 0))</f>
        <v/>
      </c>
      <c r="H1292">
        <f>IF(ISBLANK(A1292), "", B1292 - E1292 - F1292 - G1292)</f>
        <v/>
      </c>
      <c r="I1292">
        <f>IF(ISBLANK(A1292), "", D1292 - XLOOKUP(A1292, Inventory!A:A, Inventory!H:H, TODAY()))</f>
        <v/>
      </c>
    </row>
    <row r="1293">
      <c r="E1293">
        <f>IF(ISBLANK(A1293), "", XLOOKUP(A1293, Inventory!A:A, Inventory!E:E, 0))</f>
        <v/>
      </c>
      <c r="F1293">
        <f>IF(ISBLANK(A1293), "", (B1293 * XLOOKUP(C1293, 'Fees &amp; Postage Table'!A:A, 'Fees &amp; Postage Table'!C:C, 0)) + XLOOKUP(C1293, 'Fees &amp; Postage Table'!A:A, 'Fees &amp; Postage Table'!B:B, 0))</f>
        <v/>
      </c>
      <c r="G1293">
        <f>IF(ISBLANK(A1293), "", XLOOKUP(C1293, 'Fees &amp; Postage Table'!A:A, 'Fees &amp; Postage Table'!D:D, 0))</f>
        <v/>
      </c>
      <c r="H1293">
        <f>IF(ISBLANK(A1293), "", B1293 - E1293 - F1293 - G1293)</f>
        <v/>
      </c>
      <c r="I1293">
        <f>IF(ISBLANK(A1293), "", D1293 - XLOOKUP(A1293, Inventory!A:A, Inventory!H:H, TODAY()))</f>
        <v/>
      </c>
    </row>
    <row r="1294">
      <c r="E1294">
        <f>IF(ISBLANK(A1294), "", XLOOKUP(A1294, Inventory!A:A, Inventory!E:E, 0))</f>
        <v/>
      </c>
      <c r="F1294">
        <f>IF(ISBLANK(A1294), "", (B1294 * XLOOKUP(C1294, 'Fees &amp; Postage Table'!A:A, 'Fees &amp; Postage Table'!C:C, 0)) + XLOOKUP(C1294, 'Fees &amp; Postage Table'!A:A, 'Fees &amp; Postage Table'!B:B, 0))</f>
        <v/>
      </c>
      <c r="G1294">
        <f>IF(ISBLANK(A1294), "", XLOOKUP(C1294, 'Fees &amp; Postage Table'!A:A, 'Fees &amp; Postage Table'!D:D, 0))</f>
        <v/>
      </c>
      <c r="H1294">
        <f>IF(ISBLANK(A1294), "", B1294 - E1294 - F1294 - G1294)</f>
        <v/>
      </c>
      <c r="I1294">
        <f>IF(ISBLANK(A1294), "", D1294 - XLOOKUP(A1294, Inventory!A:A, Inventory!H:H, TODAY()))</f>
        <v/>
      </c>
    </row>
    <row r="1295">
      <c r="E1295">
        <f>IF(ISBLANK(A1295), "", XLOOKUP(A1295, Inventory!A:A, Inventory!E:E, 0))</f>
        <v/>
      </c>
      <c r="F1295">
        <f>IF(ISBLANK(A1295), "", (B1295 * XLOOKUP(C1295, 'Fees &amp; Postage Table'!A:A, 'Fees &amp; Postage Table'!C:C, 0)) + XLOOKUP(C1295, 'Fees &amp; Postage Table'!A:A, 'Fees &amp; Postage Table'!B:B, 0))</f>
        <v/>
      </c>
      <c r="G1295">
        <f>IF(ISBLANK(A1295), "", XLOOKUP(C1295, 'Fees &amp; Postage Table'!A:A, 'Fees &amp; Postage Table'!D:D, 0))</f>
        <v/>
      </c>
      <c r="H1295">
        <f>IF(ISBLANK(A1295), "", B1295 - E1295 - F1295 - G1295)</f>
        <v/>
      </c>
      <c r="I1295">
        <f>IF(ISBLANK(A1295), "", D1295 - XLOOKUP(A1295, Inventory!A:A, Inventory!H:H, TODAY()))</f>
        <v/>
      </c>
    </row>
    <row r="1296">
      <c r="E1296">
        <f>IF(ISBLANK(A1296), "", XLOOKUP(A1296, Inventory!A:A, Inventory!E:E, 0))</f>
        <v/>
      </c>
      <c r="F1296">
        <f>IF(ISBLANK(A1296), "", (B1296 * XLOOKUP(C1296, 'Fees &amp; Postage Table'!A:A, 'Fees &amp; Postage Table'!C:C, 0)) + XLOOKUP(C1296, 'Fees &amp; Postage Table'!A:A, 'Fees &amp; Postage Table'!B:B, 0))</f>
        <v/>
      </c>
      <c r="G1296">
        <f>IF(ISBLANK(A1296), "", XLOOKUP(C1296, 'Fees &amp; Postage Table'!A:A, 'Fees &amp; Postage Table'!D:D, 0))</f>
        <v/>
      </c>
      <c r="H1296">
        <f>IF(ISBLANK(A1296), "", B1296 - E1296 - F1296 - G1296)</f>
        <v/>
      </c>
      <c r="I1296">
        <f>IF(ISBLANK(A1296), "", D1296 - XLOOKUP(A1296, Inventory!A:A, Inventory!H:H, TODAY()))</f>
        <v/>
      </c>
    </row>
    <row r="1297">
      <c r="E1297">
        <f>IF(ISBLANK(A1297), "", XLOOKUP(A1297, Inventory!A:A, Inventory!E:E, 0))</f>
        <v/>
      </c>
      <c r="F1297">
        <f>IF(ISBLANK(A1297), "", (B1297 * XLOOKUP(C1297, 'Fees &amp; Postage Table'!A:A, 'Fees &amp; Postage Table'!C:C, 0)) + XLOOKUP(C1297, 'Fees &amp; Postage Table'!A:A, 'Fees &amp; Postage Table'!B:B, 0))</f>
        <v/>
      </c>
      <c r="G1297">
        <f>IF(ISBLANK(A1297), "", XLOOKUP(C1297, 'Fees &amp; Postage Table'!A:A, 'Fees &amp; Postage Table'!D:D, 0))</f>
        <v/>
      </c>
      <c r="H1297">
        <f>IF(ISBLANK(A1297), "", B1297 - E1297 - F1297 - G1297)</f>
        <v/>
      </c>
      <c r="I1297">
        <f>IF(ISBLANK(A1297), "", D1297 - XLOOKUP(A1297, Inventory!A:A, Inventory!H:H, TODAY()))</f>
        <v/>
      </c>
    </row>
    <row r="1298">
      <c r="E1298">
        <f>IF(ISBLANK(A1298), "", XLOOKUP(A1298, Inventory!A:A, Inventory!E:E, 0))</f>
        <v/>
      </c>
      <c r="F1298">
        <f>IF(ISBLANK(A1298), "", (B1298 * XLOOKUP(C1298, 'Fees &amp; Postage Table'!A:A, 'Fees &amp; Postage Table'!C:C, 0)) + XLOOKUP(C1298, 'Fees &amp; Postage Table'!A:A, 'Fees &amp; Postage Table'!B:B, 0))</f>
        <v/>
      </c>
      <c r="G1298">
        <f>IF(ISBLANK(A1298), "", XLOOKUP(C1298, 'Fees &amp; Postage Table'!A:A, 'Fees &amp; Postage Table'!D:D, 0))</f>
        <v/>
      </c>
      <c r="H1298">
        <f>IF(ISBLANK(A1298), "", B1298 - E1298 - F1298 - G1298)</f>
        <v/>
      </c>
      <c r="I1298">
        <f>IF(ISBLANK(A1298), "", D1298 - XLOOKUP(A1298, Inventory!A:A, Inventory!H:H, TODAY()))</f>
        <v/>
      </c>
    </row>
    <row r="1299">
      <c r="E1299">
        <f>IF(ISBLANK(A1299), "", XLOOKUP(A1299, Inventory!A:A, Inventory!E:E, 0))</f>
        <v/>
      </c>
      <c r="F1299">
        <f>IF(ISBLANK(A1299), "", (B1299 * XLOOKUP(C1299, 'Fees &amp; Postage Table'!A:A, 'Fees &amp; Postage Table'!C:C, 0)) + XLOOKUP(C1299, 'Fees &amp; Postage Table'!A:A, 'Fees &amp; Postage Table'!B:B, 0))</f>
        <v/>
      </c>
      <c r="G1299">
        <f>IF(ISBLANK(A1299), "", XLOOKUP(C1299, 'Fees &amp; Postage Table'!A:A, 'Fees &amp; Postage Table'!D:D, 0))</f>
        <v/>
      </c>
      <c r="H1299">
        <f>IF(ISBLANK(A1299), "", B1299 - E1299 - F1299 - G1299)</f>
        <v/>
      </c>
      <c r="I1299">
        <f>IF(ISBLANK(A1299), "", D1299 - XLOOKUP(A1299, Inventory!A:A, Inventory!H:H, TODAY()))</f>
        <v/>
      </c>
    </row>
    <row r="1300">
      <c r="E1300">
        <f>IF(ISBLANK(A1300), "", XLOOKUP(A1300, Inventory!A:A, Inventory!E:E, 0))</f>
        <v/>
      </c>
      <c r="F1300">
        <f>IF(ISBLANK(A1300), "", (B1300 * XLOOKUP(C1300, 'Fees &amp; Postage Table'!A:A, 'Fees &amp; Postage Table'!C:C, 0)) + XLOOKUP(C1300, 'Fees &amp; Postage Table'!A:A, 'Fees &amp; Postage Table'!B:B, 0))</f>
        <v/>
      </c>
      <c r="G1300">
        <f>IF(ISBLANK(A1300), "", XLOOKUP(C1300, 'Fees &amp; Postage Table'!A:A, 'Fees &amp; Postage Table'!D:D, 0))</f>
        <v/>
      </c>
      <c r="H1300">
        <f>IF(ISBLANK(A1300), "", B1300 - E1300 - F1300 - G1300)</f>
        <v/>
      </c>
      <c r="I1300">
        <f>IF(ISBLANK(A1300), "", D1300 - XLOOKUP(A1300, Inventory!A:A, Inventory!H:H, TODAY()))</f>
        <v/>
      </c>
    </row>
    <row r="1301">
      <c r="E1301">
        <f>IF(ISBLANK(A1301), "", XLOOKUP(A1301, Inventory!A:A, Inventory!E:E, 0))</f>
        <v/>
      </c>
      <c r="F1301">
        <f>IF(ISBLANK(A1301), "", (B1301 * XLOOKUP(C1301, 'Fees &amp; Postage Table'!A:A, 'Fees &amp; Postage Table'!C:C, 0)) + XLOOKUP(C1301, 'Fees &amp; Postage Table'!A:A, 'Fees &amp; Postage Table'!B:B, 0))</f>
        <v/>
      </c>
      <c r="G1301">
        <f>IF(ISBLANK(A1301), "", XLOOKUP(C1301, 'Fees &amp; Postage Table'!A:A, 'Fees &amp; Postage Table'!D:D, 0))</f>
        <v/>
      </c>
      <c r="H1301">
        <f>IF(ISBLANK(A1301), "", B1301 - E1301 - F1301 - G1301)</f>
        <v/>
      </c>
      <c r="I1301">
        <f>IF(ISBLANK(A1301), "", D1301 - XLOOKUP(A1301, Inventory!A:A, Inventory!H:H, TODAY()))</f>
        <v/>
      </c>
    </row>
    <row r="1302">
      <c r="E1302">
        <f>IF(ISBLANK(A1302), "", XLOOKUP(A1302, Inventory!A:A, Inventory!E:E, 0))</f>
        <v/>
      </c>
      <c r="F1302">
        <f>IF(ISBLANK(A1302), "", (B1302 * XLOOKUP(C1302, 'Fees &amp; Postage Table'!A:A, 'Fees &amp; Postage Table'!C:C, 0)) + XLOOKUP(C1302, 'Fees &amp; Postage Table'!A:A, 'Fees &amp; Postage Table'!B:B, 0))</f>
        <v/>
      </c>
      <c r="G1302">
        <f>IF(ISBLANK(A1302), "", XLOOKUP(C1302, 'Fees &amp; Postage Table'!A:A, 'Fees &amp; Postage Table'!D:D, 0))</f>
        <v/>
      </c>
      <c r="H1302">
        <f>IF(ISBLANK(A1302), "", B1302 - E1302 - F1302 - G1302)</f>
        <v/>
      </c>
      <c r="I1302">
        <f>IF(ISBLANK(A1302), "", D1302 - XLOOKUP(A1302, Inventory!A:A, Inventory!H:H, TODAY()))</f>
        <v/>
      </c>
    </row>
    <row r="1303">
      <c r="E1303">
        <f>IF(ISBLANK(A1303), "", XLOOKUP(A1303, Inventory!A:A, Inventory!E:E, 0))</f>
        <v/>
      </c>
      <c r="F1303">
        <f>IF(ISBLANK(A1303), "", (B1303 * XLOOKUP(C1303, 'Fees &amp; Postage Table'!A:A, 'Fees &amp; Postage Table'!C:C, 0)) + XLOOKUP(C1303, 'Fees &amp; Postage Table'!A:A, 'Fees &amp; Postage Table'!B:B, 0))</f>
        <v/>
      </c>
      <c r="G1303">
        <f>IF(ISBLANK(A1303), "", XLOOKUP(C1303, 'Fees &amp; Postage Table'!A:A, 'Fees &amp; Postage Table'!D:D, 0))</f>
        <v/>
      </c>
      <c r="H1303">
        <f>IF(ISBLANK(A1303), "", B1303 - E1303 - F1303 - G1303)</f>
        <v/>
      </c>
      <c r="I1303">
        <f>IF(ISBLANK(A1303), "", D1303 - XLOOKUP(A1303, Inventory!A:A, Inventory!H:H, TODAY()))</f>
        <v/>
      </c>
    </row>
    <row r="1304">
      <c r="E1304">
        <f>IF(ISBLANK(A1304), "", XLOOKUP(A1304, Inventory!A:A, Inventory!E:E, 0))</f>
        <v/>
      </c>
      <c r="F1304">
        <f>IF(ISBLANK(A1304), "", (B1304 * XLOOKUP(C1304, 'Fees &amp; Postage Table'!A:A, 'Fees &amp; Postage Table'!C:C, 0)) + XLOOKUP(C1304, 'Fees &amp; Postage Table'!A:A, 'Fees &amp; Postage Table'!B:B, 0))</f>
        <v/>
      </c>
      <c r="G1304">
        <f>IF(ISBLANK(A1304), "", XLOOKUP(C1304, 'Fees &amp; Postage Table'!A:A, 'Fees &amp; Postage Table'!D:D, 0))</f>
        <v/>
      </c>
      <c r="H1304">
        <f>IF(ISBLANK(A1304), "", B1304 - E1304 - F1304 - G1304)</f>
        <v/>
      </c>
      <c r="I1304">
        <f>IF(ISBLANK(A1304), "", D1304 - XLOOKUP(A1304, Inventory!A:A, Inventory!H:H, TODAY()))</f>
        <v/>
      </c>
    </row>
    <row r="1305">
      <c r="E1305">
        <f>IF(ISBLANK(A1305), "", XLOOKUP(A1305, Inventory!A:A, Inventory!E:E, 0))</f>
        <v/>
      </c>
      <c r="F1305">
        <f>IF(ISBLANK(A1305), "", (B1305 * XLOOKUP(C1305, 'Fees &amp; Postage Table'!A:A, 'Fees &amp; Postage Table'!C:C, 0)) + XLOOKUP(C1305, 'Fees &amp; Postage Table'!A:A, 'Fees &amp; Postage Table'!B:B, 0))</f>
        <v/>
      </c>
      <c r="G1305">
        <f>IF(ISBLANK(A1305), "", XLOOKUP(C1305, 'Fees &amp; Postage Table'!A:A, 'Fees &amp; Postage Table'!D:D, 0))</f>
        <v/>
      </c>
      <c r="H1305">
        <f>IF(ISBLANK(A1305), "", B1305 - E1305 - F1305 - G1305)</f>
        <v/>
      </c>
      <c r="I1305">
        <f>IF(ISBLANK(A1305), "", D1305 - XLOOKUP(A1305, Inventory!A:A, Inventory!H:H, TODAY()))</f>
        <v/>
      </c>
    </row>
    <row r="1306">
      <c r="E1306">
        <f>IF(ISBLANK(A1306), "", XLOOKUP(A1306, Inventory!A:A, Inventory!E:E, 0))</f>
        <v/>
      </c>
      <c r="F1306">
        <f>IF(ISBLANK(A1306), "", (B1306 * XLOOKUP(C1306, 'Fees &amp; Postage Table'!A:A, 'Fees &amp; Postage Table'!C:C, 0)) + XLOOKUP(C1306, 'Fees &amp; Postage Table'!A:A, 'Fees &amp; Postage Table'!B:B, 0))</f>
        <v/>
      </c>
      <c r="G1306">
        <f>IF(ISBLANK(A1306), "", XLOOKUP(C1306, 'Fees &amp; Postage Table'!A:A, 'Fees &amp; Postage Table'!D:D, 0))</f>
        <v/>
      </c>
      <c r="H1306">
        <f>IF(ISBLANK(A1306), "", B1306 - E1306 - F1306 - G1306)</f>
        <v/>
      </c>
      <c r="I1306">
        <f>IF(ISBLANK(A1306), "", D1306 - XLOOKUP(A1306, Inventory!A:A, Inventory!H:H, TODAY()))</f>
        <v/>
      </c>
    </row>
    <row r="1307">
      <c r="E1307">
        <f>IF(ISBLANK(A1307), "", XLOOKUP(A1307, Inventory!A:A, Inventory!E:E, 0))</f>
        <v/>
      </c>
      <c r="F1307">
        <f>IF(ISBLANK(A1307), "", (B1307 * XLOOKUP(C1307, 'Fees &amp; Postage Table'!A:A, 'Fees &amp; Postage Table'!C:C, 0)) + XLOOKUP(C1307, 'Fees &amp; Postage Table'!A:A, 'Fees &amp; Postage Table'!B:B, 0))</f>
        <v/>
      </c>
      <c r="G1307">
        <f>IF(ISBLANK(A1307), "", XLOOKUP(C1307, 'Fees &amp; Postage Table'!A:A, 'Fees &amp; Postage Table'!D:D, 0))</f>
        <v/>
      </c>
      <c r="H1307">
        <f>IF(ISBLANK(A1307), "", B1307 - E1307 - F1307 - G1307)</f>
        <v/>
      </c>
      <c r="I1307">
        <f>IF(ISBLANK(A1307), "", D1307 - XLOOKUP(A1307, Inventory!A:A, Inventory!H:H, TODAY()))</f>
        <v/>
      </c>
    </row>
    <row r="1308">
      <c r="E1308">
        <f>IF(ISBLANK(A1308), "", XLOOKUP(A1308, Inventory!A:A, Inventory!E:E, 0))</f>
        <v/>
      </c>
      <c r="F1308">
        <f>IF(ISBLANK(A1308), "", (B1308 * XLOOKUP(C1308, 'Fees &amp; Postage Table'!A:A, 'Fees &amp; Postage Table'!C:C, 0)) + XLOOKUP(C1308, 'Fees &amp; Postage Table'!A:A, 'Fees &amp; Postage Table'!B:B, 0))</f>
        <v/>
      </c>
      <c r="G1308">
        <f>IF(ISBLANK(A1308), "", XLOOKUP(C1308, 'Fees &amp; Postage Table'!A:A, 'Fees &amp; Postage Table'!D:D, 0))</f>
        <v/>
      </c>
      <c r="H1308">
        <f>IF(ISBLANK(A1308), "", B1308 - E1308 - F1308 - G1308)</f>
        <v/>
      </c>
      <c r="I1308">
        <f>IF(ISBLANK(A1308), "", D1308 - XLOOKUP(A1308, Inventory!A:A, Inventory!H:H, TODAY()))</f>
        <v/>
      </c>
    </row>
    <row r="1309">
      <c r="E1309">
        <f>IF(ISBLANK(A1309), "", XLOOKUP(A1309, Inventory!A:A, Inventory!E:E, 0))</f>
        <v/>
      </c>
      <c r="F1309">
        <f>IF(ISBLANK(A1309), "", (B1309 * XLOOKUP(C1309, 'Fees &amp; Postage Table'!A:A, 'Fees &amp; Postage Table'!C:C, 0)) + XLOOKUP(C1309, 'Fees &amp; Postage Table'!A:A, 'Fees &amp; Postage Table'!B:B, 0))</f>
        <v/>
      </c>
      <c r="G1309">
        <f>IF(ISBLANK(A1309), "", XLOOKUP(C1309, 'Fees &amp; Postage Table'!A:A, 'Fees &amp; Postage Table'!D:D, 0))</f>
        <v/>
      </c>
      <c r="H1309">
        <f>IF(ISBLANK(A1309), "", B1309 - E1309 - F1309 - G1309)</f>
        <v/>
      </c>
      <c r="I1309">
        <f>IF(ISBLANK(A1309), "", D1309 - XLOOKUP(A1309, Inventory!A:A, Inventory!H:H, TODAY()))</f>
        <v/>
      </c>
    </row>
    <row r="1310">
      <c r="E1310">
        <f>IF(ISBLANK(A1310), "", XLOOKUP(A1310, Inventory!A:A, Inventory!E:E, 0))</f>
        <v/>
      </c>
      <c r="F1310">
        <f>IF(ISBLANK(A1310), "", (B1310 * XLOOKUP(C1310, 'Fees &amp; Postage Table'!A:A, 'Fees &amp; Postage Table'!C:C, 0)) + XLOOKUP(C1310, 'Fees &amp; Postage Table'!A:A, 'Fees &amp; Postage Table'!B:B, 0))</f>
        <v/>
      </c>
      <c r="G1310">
        <f>IF(ISBLANK(A1310), "", XLOOKUP(C1310, 'Fees &amp; Postage Table'!A:A, 'Fees &amp; Postage Table'!D:D, 0))</f>
        <v/>
      </c>
      <c r="H1310">
        <f>IF(ISBLANK(A1310), "", B1310 - E1310 - F1310 - G1310)</f>
        <v/>
      </c>
      <c r="I1310">
        <f>IF(ISBLANK(A1310), "", D1310 - XLOOKUP(A1310, Inventory!A:A, Inventory!H:H, TODAY()))</f>
        <v/>
      </c>
    </row>
    <row r="1311">
      <c r="E1311">
        <f>IF(ISBLANK(A1311), "", XLOOKUP(A1311, Inventory!A:A, Inventory!E:E, 0))</f>
        <v/>
      </c>
      <c r="F1311">
        <f>IF(ISBLANK(A1311), "", (B1311 * XLOOKUP(C1311, 'Fees &amp; Postage Table'!A:A, 'Fees &amp; Postage Table'!C:C, 0)) + XLOOKUP(C1311, 'Fees &amp; Postage Table'!A:A, 'Fees &amp; Postage Table'!B:B, 0))</f>
        <v/>
      </c>
      <c r="G1311">
        <f>IF(ISBLANK(A1311), "", XLOOKUP(C1311, 'Fees &amp; Postage Table'!A:A, 'Fees &amp; Postage Table'!D:D, 0))</f>
        <v/>
      </c>
      <c r="H1311">
        <f>IF(ISBLANK(A1311), "", B1311 - E1311 - F1311 - G1311)</f>
        <v/>
      </c>
      <c r="I1311">
        <f>IF(ISBLANK(A1311), "", D1311 - XLOOKUP(A1311, Inventory!A:A, Inventory!H:H, TODAY()))</f>
        <v/>
      </c>
    </row>
    <row r="1312">
      <c r="E1312">
        <f>IF(ISBLANK(A1312), "", XLOOKUP(A1312, Inventory!A:A, Inventory!E:E, 0))</f>
        <v/>
      </c>
      <c r="F1312">
        <f>IF(ISBLANK(A1312), "", (B1312 * XLOOKUP(C1312, 'Fees &amp; Postage Table'!A:A, 'Fees &amp; Postage Table'!C:C, 0)) + XLOOKUP(C1312, 'Fees &amp; Postage Table'!A:A, 'Fees &amp; Postage Table'!B:B, 0))</f>
        <v/>
      </c>
      <c r="G1312">
        <f>IF(ISBLANK(A1312), "", XLOOKUP(C1312, 'Fees &amp; Postage Table'!A:A, 'Fees &amp; Postage Table'!D:D, 0))</f>
        <v/>
      </c>
      <c r="H1312">
        <f>IF(ISBLANK(A1312), "", B1312 - E1312 - F1312 - G1312)</f>
        <v/>
      </c>
      <c r="I1312">
        <f>IF(ISBLANK(A1312), "", D1312 - XLOOKUP(A1312, Inventory!A:A, Inventory!H:H, TODAY()))</f>
        <v/>
      </c>
    </row>
    <row r="1313">
      <c r="E1313">
        <f>IF(ISBLANK(A1313), "", XLOOKUP(A1313, Inventory!A:A, Inventory!E:E, 0))</f>
        <v/>
      </c>
      <c r="F1313">
        <f>IF(ISBLANK(A1313), "", (B1313 * XLOOKUP(C1313, 'Fees &amp; Postage Table'!A:A, 'Fees &amp; Postage Table'!C:C, 0)) + XLOOKUP(C1313, 'Fees &amp; Postage Table'!A:A, 'Fees &amp; Postage Table'!B:B, 0))</f>
        <v/>
      </c>
      <c r="G1313">
        <f>IF(ISBLANK(A1313), "", XLOOKUP(C1313, 'Fees &amp; Postage Table'!A:A, 'Fees &amp; Postage Table'!D:D, 0))</f>
        <v/>
      </c>
      <c r="H1313">
        <f>IF(ISBLANK(A1313), "", B1313 - E1313 - F1313 - G1313)</f>
        <v/>
      </c>
      <c r="I1313">
        <f>IF(ISBLANK(A1313), "", D1313 - XLOOKUP(A1313, Inventory!A:A, Inventory!H:H, TODAY()))</f>
        <v/>
      </c>
    </row>
    <row r="1314">
      <c r="E1314">
        <f>IF(ISBLANK(A1314), "", XLOOKUP(A1314, Inventory!A:A, Inventory!E:E, 0))</f>
        <v/>
      </c>
      <c r="F1314">
        <f>IF(ISBLANK(A1314), "", (B1314 * XLOOKUP(C1314, 'Fees &amp; Postage Table'!A:A, 'Fees &amp; Postage Table'!C:C, 0)) + XLOOKUP(C1314, 'Fees &amp; Postage Table'!A:A, 'Fees &amp; Postage Table'!B:B, 0))</f>
        <v/>
      </c>
      <c r="G1314">
        <f>IF(ISBLANK(A1314), "", XLOOKUP(C1314, 'Fees &amp; Postage Table'!A:A, 'Fees &amp; Postage Table'!D:D, 0))</f>
        <v/>
      </c>
      <c r="H1314">
        <f>IF(ISBLANK(A1314), "", B1314 - E1314 - F1314 - G1314)</f>
        <v/>
      </c>
      <c r="I1314">
        <f>IF(ISBLANK(A1314), "", D1314 - XLOOKUP(A1314, Inventory!A:A, Inventory!H:H, TODAY()))</f>
        <v/>
      </c>
    </row>
    <row r="1315">
      <c r="E1315">
        <f>IF(ISBLANK(A1315), "", XLOOKUP(A1315, Inventory!A:A, Inventory!E:E, 0))</f>
        <v/>
      </c>
      <c r="F1315">
        <f>IF(ISBLANK(A1315), "", (B1315 * XLOOKUP(C1315, 'Fees &amp; Postage Table'!A:A, 'Fees &amp; Postage Table'!C:C, 0)) + XLOOKUP(C1315, 'Fees &amp; Postage Table'!A:A, 'Fees &amp; Postage Table'!B:B, 0))</f>
        <v/>
      </c>
      <c r="G1315">
        <f>IF(ISBLANK(A1315), "", XLOOKUP(C1315, 'Fees &amp; Postage Table'!A:A, 'Fees &amp; Postage Table'!D:D, 0))</f>
        <v/>
      </c>
      <c r="H1315">
        <f>IF(ISBLANK(A1315), "", B1315 - E1315 - F1315 - G1315)</f>
        <v/>
      </c>
      <c r="I1315">
        <f>IF(ISBLANK(A1315), "", D1315 - XLOOKUP(A1315, Inventory!A:A, Inventory!H:H, TODAY()))</f>
        <v/>
      </c>
    </row>
    <row r="1316">
      <c r="E1316">
        <f>IF(ISBLANK(A1316), "", XLOOKUP(A1316, Inventory!A:A, Inventory!E:E, 0))</f>
        <v/>
      </c>
      <c r="F1316">
        <f>IF(ISBLANK(A1316), "", (B1316 * XLOOKUP(C1316, 'Fees &amp; Postage Table'!A:A, 'Fees &amp; Postage Table'!C:C, 0)) + XLOOKUP(C1316, 'Fees &amp; Postage Table'!A:A, 'Fees &amp; Postage Table'!B:B, 0))</f>
        <v/>
      </c>
      <c r="G1316">
        <f>IF(ISBLANK(A1316), "", XLOOKUP(C1316, 'Fees &amp; Postage Table'!A:A, 'Fees &amp; Postage Table'!D:D, 0))</f>
        <v/>
      </c>
      <c r="H1316">
        <f>IF(ISBLANK(A1316), "", B1316 - E1316 - F1316 - G1316)</f>
        <v/>
      </c>
      <c r="I1316">
        <f>IF(ISBLANK(A1316), "", D1316 - XLOOKUP(A1316, Inventory!A:A, Inventory!H:H, TODAY()))</f>
        <v/>
      </c>
    </row>
    <row r="1317">
      <c r="E1317">
        <f>IF(ISBLANK(A1317), "", XLOOKUP(A1317, Inventory!A:A, Inventory!E:E, 0))</f>
        <v/>
      </c>
      <c r="F1317">
        <f>IF(ISBLANK(A1317), "", (B1317 * XLOOKUP(C1317, 'Fees &amp; Postage Table'!A:A, 'Fees &amp; Postage Table'!C:C, 0)) + XLOOKUP(C1317, 'Fees &amp; Postage Table'!A:A, 'Fees &amp; Postage Table'!B:B, 0))</f>
        <v/>
      </c>
      <c r="G1317">
        <f>IF(ISBLANK(A1317), "", XLOOKUP(C1317, 'Fees &amp; Postage Table'!A:A, 'Fees &amp; Postage Table'!D:D, 0))</f>
        <v/>
      </c>
      <c r="H1317">
        <f>IF(ISBLANK(A1317), "", B1317 - E1317 - F1317 - G1317)</f>
        <v/>
      </c>
      <c r="I1317">
        <f>IF(ISBLANK(A1317), "", D1317 - XLOOKUP(A1317, Inventory!A:A, Inventory!H:H, TODAY()))</f>
        <v/>
      </c>
    </row>
    <row r="1318">
      <c r="E1318">
        <f>IF(ISBLANK(A1318), "", XLOOKUP(A1318, Inventory!A:A, Inventory!E:E, 0))</f>
        <v/>
      </c>
      <c r="F1318">
        <f>IF(ISBLANK(A1318), "", (B1318 * XLOOKUP(C1318, 'Fees &amp; Postage Table'!A:A, 'Fees &amp; Postage Table'!C:C, 0)) + XLOOKUP(C1318, 'Fees &amp; Postage Table'!A:A, 'Fees &amp; Postage Table'!B:B, 0))</f>
        <v/>
      </c>
      <c r="G1318">
        <f>IF(ISBLANK(A1318), "", XLOOKUP(C1318, 'Fees &amp; Postage Table'!A:A, 'Fees &amp; Postage Table'!D:D, 0))</f>
        <v/>
      </c>
      <c r="H1318">
        <f>IF(ISBLANK(A1318), "", B1318 - E1318 - F1318 - G1318)</f>
        <v/>
      </c>
      <c r="I1318">
        <f>IF(ISBLANK(A1318), "", D1318 - XLOOKUP(A1318, Inventory!A:A, Inventory!H:H, TODAY()))</f>
        <v/>
      </c>
    </row>
    <row r="1319">
      <c r="E1319">
        <f>IF(ISBLANK(A1319), "", XLOOKUP(A1319, Inventory!A:A, Inventory!E:E, 0))</f>
        <v/>
      </c>
      <c r="F1319">
        <f>IF(ISBLANK(A1319), "", (B1319 * XLOOKUP(C1319, 'Fees &amp; Postage Table'!A:A, 'Fees &amp; Postage Table'!C:C, 0)) + XLOOKUP(C1319, 'Fees &amp; Postage Table'!A:A, 'Fees &amp; Postage Table'!B:B, 0))</f>
        <v/>
      </c>
      <c r="G1319">
        <f>IF(ISBLANK(A1319), "", XLOOKUP(C1319, 'Fees &amp; Postage Table'!A:A, 'Fees &amp; Postage Table'!D:D, 0))</f>
        <v/>
      </c>
      <c r="H1319">
        <f>IF(ISBLANK(A1319), "", B1319 - E1319 - F1319 - G1319)</f>
        <v/>
      </c>
      <c r="I1319">
        <f>IF(ISBLANK(A1319), "", D1319 - XLOOKUP(A1319, Inventory!A:A, Inventory!H:H, TODAY()))</f>
        <v/>
      </c>
    </row>
    <row r="1320">
      <c r="E1320">
        <f>IF(ISBLANK(A1320), "", XLOOKUP(A1320, Inventory!A:A, Inventory!E:E, 0))</f>
        <v/>
      </c>
      <c r="F1320">
        <f>IF(ISBLANK(A1320), "", (B1320 * XLOOKUP(C1320, 'Fees &amp; Postage Table'!A:A, 'Fees &amp; Postage Table'!C:C, 0)) + XLOOKUP(C1320, 'Fees &amp; Postage Table'!A:A, 'Fees &amp; Postage Table'!B:B, 0))</f>
        <v/>
      </c>
      <c r="G1320">
        <f>IF(ISBLANK(A1320), "", XLOOKUP(C1320, 'Fees &amp; Postage Table'!A:A, 'Fees &amp; Postage Table'!D:D, 0))</f>
        <v/>
      </c>
      <c r="H1320">
        <f>IF(ISBLANK(A1320), "", B1320 - E1320 - F1320 - G1320)</f>
        <v/>
      </c>
      <c r="I1320">
        <f>IF(ISBLANK(A1320), "", D1320 - XLOOKUP(A1320, Inventory!A:A, Inventory!H:H, TODAY()))</f>
        <v/>
      </c>
    </row>
    <row r="1321">
      <c r="E1321">
        <f>IF(ISBLANK(A1321), "", XLOOKUP(A1321, Inventory!A:A, Inventory!E:E, 0))</f>
        <v/>
      </c>
      <c r="F1321">
        <f>IF(ISBLANK(A1321), "", (B1321 * XLOOKUP(C1321, 'Fees &amp; Postage Table'!A:A, 'Fees &amp; Postage Table'!C:C, 0)) + XLOOKUP(C1321, 'Fees &amp; Postage Table'!A:A, 'Fees &amp; Postage Table'!B:B, 0))</f>
        <v/>
      </c>
      <c r="G1321">
        <f>IF(ISBLANK(A1321), "", XLOOKUP(C1321, 'Fees &amp; Postage Table'!A:A, 'Fees &amp; Postage Table'!D:D, 0))</f>
        <v/>
      </c>
      <c r="H1321">
        <f>IF(ISBLANK(A1321), "", B1321 - E1321 - F1321 - G1321)</f>
        <v/>
      </c>
      <c r="I1321">
        <f>IF(ISBLANK(A1321), "", D1321 - XLOOKUP(A1321, Inventory!A:A, Inventory!H:H, TODAY()))</f>
        <v/>
      </c>
    </row>
    <row r="1322">
      <c r="E1322">
        <f>IF(ISBLANK(A1322), "", XLOOKUP(A1322, Inventory!A:A, Inventory!E:E, 0))</f>
        <v/>
      </c>
      <c r="F1322">
        <f>IF(ISBLANK(A1322), "", (B1322 * XLOOKUP(C1322, 'Fees &amp; Postage Table'!A:A, 'Fees &amp; Postage Table'!C:C, 0)) + XLOOKUP(C1322, 'Fees &amp; Postage Table'!A:A, 'Fees &amp; Postage Table'!B:B, 0))</f>
        <v/>
      </c>
      <c r="G1322">
        <f>IF(ISBLANK(A1322), "", XLOOKUP(C1322, 'Fees &amp; Postage Table'!A:A, 'Fees &amp; Postage Table'!D:D, 0))</f>
        <v/>
      </c>
      <c r="H1322">
        <f>IF(ISBLANK(A1322), "", B1322 - E1322 - F1322 - G1322)</f>
        <v/>
      </c>
      <c r="I1322">
        <f>IF(ISBLANK(A1322), "", D1322 - XLOOKUP(A1322, Inventory!A:A, Inventory!H:H, TODAY()))</f>
        <v/>
      </c>
    </row>
    <row r="1323">
      <c r="E1323">
        <f>IF(ISBLANK(A1323), "", XLOOKUP(A1323, Inventory!A:A, Inventory!E:E, 0))</f>
        <v/>
      </c>
      <c r="F1323">
        <f>IF(ISBLANK(A1323), "", (B1323 * XLOOKUP(C1323, 'Fees &amp; Postage Table'!A:A, 'Fees &amp; Postage Table'!C:C, 0)) + XLOOKUP(C1323, 'Fees &amp; Postage Table'!A:A, 'Fees &amp; Postage Table'!B:B, 0))</f>
        <v/>
      </c>
      <c r="G1323">
        <f>IF(ISBLANK(A1323), "", XLOOKUP(C1323, 'Fees &amp; Postage Table'!A:A, 'Fees &amp; Postage Table'!D:D, 0))</f>
        <v/>
      </c>
      <c r="H1323">
        <f>IF(ISBLANK(A1323), "", B1323 - E1323 - F1323 - G1323)</f>
        <v/>
      </c>
      <c r="I1323">
        <f>IF(ISBLANK(A1323), "", D1323 - XLOOKUP(A1323, Inventory!A:A, Inventory!H:H, TODAY()))</f>
        <v/>
      </c>
    </row>
    <row r="1324">
      <c r="E1324">
        <f>IF(ISBLANK(A1324), "", XLOOKUP(A1324, Inventory!A:A, Inventory!E:E, 0))</f>
        <v/>
      </c>
      <c r="F1324">
        <f>IF(ISBLANK(A1324), "", (B1324 * XLOOKUP(C1324, 'Fees &amp; Postage Table'!A:A, 'Fees &amp; Postage Table'!C:C, 0)) + XLOOKUP(C1324, 'Fees &amp; Postage Table'!A:A, 'Fees &amp; Postage Table'!B:B, 0))</f>
        <v/>
      </c>
      <c r="G1324">
        <f>IF(ISBLANK(A1324), "", XLOOKUP(C1324, 'Fees &amp; Postage Table'!A:A, 'Fees &amp; Postage Table'!D:D, 0))</f>
        <v/>
      </c>
      <c r="H1324">
        <f>IF(ISBLANK(A1324), "", B1324 - E1324 - F1324 - G1324)</f>
        <v/>
      </c>
      <c r="I1324">
        <f>IF(ISBLANK(A1324), "", D1324 - XLOOKUP(A1324, Inventory!A:A, Inventory!H:H, TODAY()))</f>
        <v/>
      </c>
    </row>
    <row r="1325">
      <c r="E1325">
        <f>IF(ISBLANK(A1325), "", XLOOKUP(A1325, Inventory!A:A, Inventory!E:E, 0))</f>
        <v/>
      </c>
      <c r="F1325">
        <f>IF(ISBLANK(A1325), "", (B1325 * XLOOKUP(C1325, 'Fees &amp; Postage Table'!A:A, 'Fees &amp; Postage Table'!C:C, 0)) + XLOOKUP(C1325, 'Fees &amp; Postage Table'!A:A, 'Fees &amp; Postage Table'!B:B, 0))</f>
        <v/>
      </c>
      <c r="G1325">
        <f>IF(ISBLANK(A1325), "", XLOOKUP(C1325, 'Fees &amp; Postage Table'!A:A, 'Fees &amp; Postage Table'!D:D, 0))</f>
        <v/>
      </c>
      <c r="H1325">
        <f>IF(ISBLANK(A1325), "", B1325 - E1325 - F1325 - G1325)</f>
        <v/>
      </c>
      <c r="I1325">
        <f>IF(ISBLANK(A1325), "", D1325 - XLOOKUP(A1325, Inventory!A:A, Inventory!H:H, TODAY()))</f>
        <v/>
      </c>
    </row>
    <row r="1326">
      <c r="E1326">
        <f>IF(ISBLANK(A1326), "", XLOOKUP(A1326, Inventory!A:A, Inventory!E:E, 0))</f>
        <v/>
      </c>
      <c r="F1326">
        <f>IF(ISBLANK(A1326), "", (B1326 * XLOOKUP(C1326, 'Fees &amp; Postage Table'!A:A, 'Fees &amp; Postage Table'!C:C, 0)) + XLOOKUP(C1326, 'Fees &amp; Postage Table'!A:A, 'Fees &amp; Postage Table'!B:B, 0))</f>
        <v/>
      </c>
      <c r="G1326">
        <f>IF(ISBLANK(A1326), "", XLOOKUP(C1326, 'Fees &amp; Postage Table'!A:A, 'Fees &amp; Postage Table'!D:D, 0))</f>
        <v/>
      </c>
      <c r="H1326">
        <f>IF(ISBLANK(A1326), "", B1326 - E1326 - F1326 - G1326)</f>
        <v/>
      </c>
      <c r="I1326">
        <f>IF(ISBLANK(A1326), "", D1326 - XLOOKUP(A1326, Inventory!A:A, Inventory!H:H, TODAY()))</f>
        <v/>
      </c>
    </row>
    <row r="1327">
      <c r="E1327">
        <f>IF(ISBLANK(A1327), "", XLOOKUP(A1327, Inventory!A:A, Inventory!E:E, 0))</f>
        <v/>
      </c>
      <c r="F1327">
        <f>IF(ISBLANK(A1327), "", (B1327 * XLOOKUP(C1327, 'Fees &amp; Postage Table'!A:A, 'Fees &amp; Postage Table'!C:C, 0)) + XLOOKUP(C1327, 'Fees &amp; Postage Table'!A:A, 'Fees &amp; Postage Table'!B:B, 0))</f>
        <v/>
      </c>
      <c r="G1327">
        <f>IF(ISBLANK(A1327), "", XLOOKUP(C1327, 'Fees &amp; Postage Table'!A:A, 'Fees &amp; Postage Table'!D:D, 0))</f>
        <v/>
      </c>
      <c r="H1327">
        <f>IF(ISBLANK(A1327), "", B1327 - E1327 - F1327 - G1327)</f>
        <v/>
      </c>
      <c r="I1327">
        <f>IF(ISBLANK(A1327), "", D1327 - XLOOKUP(A1327, Inventory!A:A, Inventory!H:H, TODAY()))</f>
        <v/>
      </c>
    </row>
    <row r="1328">
      <c r="E1328">
        <f>IF(ISBLANK(A1328), "", XLOOKUP(A1328, Inventory!A:A, Inventory!E:E, 0))</f>
        <v/>
      </c>
      <c r="F1328">
        <f>IF(ISBLANK(A1328), "", (B1328 * XLOOKUP(C1328, 'Fees &amp; Postage Table'!A:A, 'Fees &amp; Postage Table'!C:C, 0)) + XLOOKUP(C1328, 'Fees &amp; Postage Table'!A:A, 'Fees &amp; Postage Table'!B:B, 0))</f>
        <v/>
      </c>
      <c r="G1328">
        <f>IF(ISBLANK(A1328), "", XLOOKUP(C1328, 'Fees &amp; Postage Table'!A:A, 'Fees &amp; Postage Table'!D:D, 0))</f>
        <v/>
      </c>
      <c r="H1328">
        <f>IF(ISBLANK(A1328), "", B1328 - E1328 - F1328 - G1328)</f>
        <v/>
      </c>
      <c r="I1328">
        <f>IF(ISBLANK(A1328), "", D1328 - XLOOKUP(A1328, Inventory!A:A, Inventory!H:H, TODAY()))</f>
        <v/>
      </c>
    </row>
    <row r="1329">
      <c r="E1329">
        <f>IF(ISBLANK(A1329), "", XLOOKUP(A1329, Inventory!A:A, Inventory!E:E, 0))</f>
        <v/>
      </c>
      <c r="F1329">
        <f>IF(ISBLANK(A1329), "", (B1329 * XLOOKUP(C1329, 'Fees &amp; Postage Table'!A:A, 'Fees &amp; Postage Table'!C:C, 0)) + XLOOKUP(C1329, 'Fees &amp; Postage Table'!A:A, 'Fees &amp; Postage Table'!B:B, 0))</f>
        <v/>
      </c>
      <c r="G1329">
        <f>IF(ISBLANK(A1329), "", XLOOKUP(C1329, 'Fees &amp; Postage Table'!A:A, 'Fees &amp; Postage Table'!D:D, 0))</f>
        <v/>
      </c>
      <c r="H1329">
        <f>IF(ISBLANK(A1329), "", B1329 - E1329 - F1329 - G1329)</f>
        <v/>
      </c>
      <c r="I1329">
        <f>IF(ISBLANK(A1329), "", D1329 - XLOOKUP(A1329, Inventory!A:A, Inventory!H:H, TODAY()))</f>
        <v/>
      </c>
    </row>
    <row r="1330">
      <c r="E1330">
        <f>IF(ISBLANK(A1330), "", XLOOKUP(A1330, Inventory!A:A, Inventory!E:E, 0))</f>
        <v/>
      </c>
      <c r="F1330">
        <f>IF(ISBLANK(A1330), "", (B1330 * XLOOKUP(C1330, 'Fees &amp; Postage Table'!A:A, 'Fees &amp; Postage Table'!C:C, 0)) + XLOOKUP(C1330, 'Fees &amp; Postage Table'!A:A, 'Fees &amp; Postage Table'!B:B, 0))</f>
        <v/>
      </c>
      <c r="G1330">
        <f>IF(ISBLANK(A1330), "", XLOOKUP(C1330, 'Fees &amp; Postage Table'!A:A, 'Fees &amp; Postage Table'!D:D, 0))</f>
        <v/>
      </c>
      <c r="H1330">
        <f>IF(ISBLANK(A1330), "", B1330 - E1330 - F1330 - G1330)</f>
        <v/>
      </c>
      <c r="I1330">
        <f>IF(ISBLANK(A1330), "", D1330 - XLOOKUP(A1330, Inventory!A:A, Inventory!H:H, TODAY()))</f>
        <v/>
      </c>
    </row>
    <row r="1331">
      <c r="E1331">
        <f>IF(ISBLANK(A1331), "", XLOOKUP(A1331, Inventory!A:A, Inventory!E:E, 0))</f>
        <v/>
      </c>
      <c r="F1331">
        <f>IF(ISBLANK(A1331), "", (B1331 * XLOOKUP(C1331, 'Fees &amp; Postage Table'!A:A, 'Fees &amp; Postage Table'!C:C, 0)) + XLOOKUP(C1331, 'Fees &amp; Postage Table'!A:A, 'Fees &amp; Postage Table'!B:B, 0))</f>
        <v/>
      </c>
      <c r="G1331">
        <f>IF(ISBLANK(A1331), "", XLOOKUP(C1331, 'Fees &amp; Postage Table'!A:A, 'Fees &amp; Postage Table'!D:D, 0))</f>
        <v/>
      </c>
      <c r="H1331">
        <f>IF(ISBLANK(A1331), "", B1331 - E1331 - F1331 - G1331)</f>
        <v/>
      </c>
      <c r="I1331">
        <f>IF(ISBLANK(A1331), "", D1331 - XLOOKUP(A1331, Inventory!A:A, Inventory!H:H, TODAY()))</f>
        <v/>
      </c>
    </row>
    <row r="1332">
      <c r="E1332">
        <f>IF(ISBLANK(A1332), "", XLOOKUP(A1332, Inventory!A:A, Inventory!E:E, 0))</f>
        <v/>
      </c>
      <c r="F1332">
        <f>IF(ISBLANK(A1332), "", (B1332 * XLOOKUP(C1332, 'Fees &amp; Postage Table'!A:A, 'Fees &amp; Postage Table'!C:C, 0)) + XLOOKUP(C1332, 'Fees &amp; Postage Table'!A:A, 'Fees &amp; Postage Table'!B:B, 0))</f>
        <v/>
      </c>
      <c r="G1332">
        <f>IF(ISBLANK(A1332), "", XLOOKUP(C1332, 'Fees &amp; Postage Table'!A:A, 'Fees &amp; Postage Table'!D:D, 0))</f>
        <v/>
      </c>
      <c r="H1332">
        <f>IF(ISBLANK(A1332), "", B1332 - E1332 - F1332 - G1332)</f>
        <v/>
      </c>
      <c r="I1332">
        <f>IF(ISBLANK(A1332), "", D1332 - XLOOKUP(A1332, Inventory!A:A, Inventory!H:H, TODAY()))</f>
        <v/>
      </c>
    </row>
    <row r="1333">
      <c r="E1333">
        <f>IF(ISBLANK(A1333), "", XLOOKUP(A1333, Inventory!A:A, Inventory!E:E, 0))</f>
        <v/>
      </c>
      <c r="F1333">
        <f>IF(ISBLANK(A1333), "", (B1333 * XLOOKUP(C1333, 'Fees &amp; Postage Table'!A:A, 'Fees &amp; Postage Table'!C:C, 0)) + XLOOKUP(C1333, 'Fees &amp; Postage Table'!A:A, 'Fees &amp; Postage Table'!B:B, 0))</f>
        <v/>
      </c>
      <c r="G1333">
        <f>IF(ISBLANK(A1333), "", XLOOKUP(C1333, 'Fees &amp; Postage Table'!A:A, 'Fees &amp; Postage Table'!D:D, 0))</f>
        <v/>
      </c>
      <c r="H1333">
        <f>IF(ISBLANK(A1333), "", B1333 - E1333 - F1333 - G1333)</f>
        <v/>
      </c>
      <c r="I1333">
        <f>IF(ISBLANK(A1333), "", D1333 - XLOOKUP(A1333, Inventory!A:A, Inventory!H:H, TODAY()))</f>
        <v/>
      </c>
    </row>
    <row r="1334">
      <c r="E1334">
        <f>IF(ISBLANK(A1334), "", XLOOKUP(A1334, Inventory!A:A, Inventory!E:E, 0))</f>
        <v/>
      </c>
      <c r="F1334">
        <f>IF(ISBLANK(A1334), "", (B1334 * XLOOKUP(C1334, 'Fees &amp; Postage Table'!A:A, 'Fees &amp; Postage Table'!C:C, 0)) + XLOOKUP(C1334, 'Fees &amp; Postage Table'!A:A, 'Fees &amp; Postage Table'!B:B, 0))</f>
        <v/>
      </c>
      <c r="G1334">
        <f>IF(ISBLANK(A1334), "", XLOOKUP(C1334, 'Fees &amp; Postage Table'!A:A, 'Fees &amp; Postage Table'!D:D, 0))</f>
        <v/>
      </c>
      <c r="H1334">
        <f>IF(ISBLANK(A1334), "", B1334 - E1334 - F1334 - G1334)</f>
        <v/>
      </c>
      <c r="I1334">
        <f>IF(ISBLANK(A1334), "", D1334 - XLOOKUP(A1334, Inventory!A:A, Inventory!H:H, TODAY()))</f>
        <v/>
      </c>
    </row>
    <row r="1335">
      <c r="E1335">
        <f>IF(ISBLANK(A1335), "", XLOOKUP(A1335, Inventory!A:A, Inventory!E:E, 0))</f>
        <v/>
      </c>
      <c r="F1335">
        <f>IF(ISBLANK(A1335), "", (B1335 * XLOOKUP(C1335, 'Fees &amp; Postage Table'!A:A, 'Fees &amp; Postage Table'!C:C, 0)) + XLOOKUP(C1335, 'Fees &amp; Postage Table'!A:A, 'Fees &amp; Postage Table'!B:B, 0))</f>
        <v/>
      </c>
      <c r="G1335">
        <f>IF(ISBLANK(A1335), "", XLOOKUP(C1335, 'Fees &amp; Postage Table'!A:A, 'Fees &amp; Postage Table'!D:D, 0))</f>
        <v/>
      </c>
      <c r="H1335">
        <f>IF(ISBLANK(A1335), "", B1335 - E1335 - F1335 - G1335)</f>
        <v/>
      </c>
      <c r="I1335">
        <f>IF(ISBLANK(A1335), "", D1335 - XLOOKUP(A1335, Inventory!A:A, Inventory!H:H, TODAY()))</f>
        <v/>
      </c>
    </row>
    <row r="1336">
      <c r="E1336">
        <f>IF(ISBLANK(A1336), "", XLOOKUP(A1336, Inventory!A:A, Inventory!E:E, 0))</f>
        <v/>
      </c>
      <c r="F1336">
        <f>IF(ISBLANK(A1336), "", (B1336 * XLOOKUP(C1336, 'Fees &amp; Postage Table'!A:A, 'Fees &amp; Postage Table'!C:C, 0)) + XLOOKUP(C1336, 'Fees &amp; Postage Table'!A:A, 'Fees &amp; Postage Table'!B:B, 0))</f>
        <v/>
      </c>
      <c r="G1336">
        <f>IF(ISBLANK(A1336), "", XLOOKUP(C1336, 'Fees &amp; Postage Table'!A:A, 'Fees &amp; Postage Table'!D:D, 0))</f>
        <v/>
      </c>
      <c r="H1336">
        <f>IF(ISBLANK(A1336), "", B1336 - E1336 - F1336 - G1336)</f>
        <v/>
      </c>
      <c r="I1336">
        <f>IF(ISBLANK(A1336), "", D1336 - XLOOKUP(A1336, Inventory!A:A, Inventory!H:H, TODAY()))</f>
        <v/>
      </c>
    </row>
    <row r="1337">
      <c r="E1337">
        <f>IF(ISBLANK(A1337), "", XLOOKUP(A1337, Inventory!A:A, Inventory!E:E, 0))</f>
        <v/>
      </c>
      <c r="F1337">
        <f>IF(ISBLANK(A1337), "", (B1337 * XLOOKUP(C1337, 'Fees &amp; Postage Table'!A:A, 'Fees &amp; Postage Table'!C:C, 0)) + XLOOKUP(C1337, 'Fees &amp; Postage Table'!A:A, 'Fees &amp; Postage Table'!B:B, 0))</f>
        <v/>
      </c>
      <c r="G1337">
        <f>IF(ISBLANK(A1337), "", XLOOKUP(C1337, 'Fees &amp; Postage Table'!A:A, 'Fees &amp; Postage Table'!D:D, 0))</f>
        <v/>
      </c>
      <c r="H1337">
        <f>IF(ISBLANK(A1337), "", B1337 - E1337 - F1337 - G1337)</f>
        <v/>
      </c>
      <c r="I1337">
        <f>IF(ISBLANK(A1337), "", D1337 - XLOOKUP(A1337, Inventory!A:A, Inventory!H:H, TODAY()))</f>
        <v/>
      </c>
    </row>
    <row r="1338">
      <c r="E1338">
        <f>IF(ISBLANK(A1338), "", XLOOKUP(A1338, Inventory!A:A, Inventory!E:E, 0))</f>
        <v/>
      </c>
      <c r="F1338">
        <f>IF(ISBLANK(A1338), "", (B1338 * XLOOKUP(C1338, 'Fees &amp; Postage Table'!A:A, 'Fees &amp; Postage Table'!C:C, 0)) + XLOOKUP(C1338, 'Fees &amp; Postage Table'!A:A, 'Fees &amp; Postage Table'!B:B, 0))</f>
        <v/>
      </c>
      <c r="G1338">
        <f>IF(ISBLANK(A1338), "", XLOOKUP(C1338, 'Fees &amp; Postage Table'!A:A, 'Fees &amp; Postage Table'!D:D, 0))</f>
        <v/>
      </c>
      <c r="H1338">
        <f>IF(ISBLANK(A1338), "", B1338 - E1338 - F1338 - G1338)</f>
        <v/>
      </c>
      <c r="I1338">
        <f>IF(ISBLANK(A1338), "", D1338 - XLOOKUP(A1338, Inventory!A:A, Inventory!H:H, TODAY()))</f>
        <v/>
      </c>
    </row>
    <row r="1339">
      <c r="E1339">
        <f>IF(ISBLANK(A1339), "", XLOOKUP(A1339, Inventory!A:A, Inventory!E:E, 0))</f>
        <v/>
      </c>
      <c r="F1339">
        <f>IF(ISBLANK(A1339), "", (B1339 * XLOOKUP(C1339, 'Fees &amp; Postage Table'!A:A, 'Fees &amp; Postage Table'!C:C, 0)) + XLOOKUP(C1339, 'Fees &amp; Postage Table'!A:A, 'Fees &amp; Postage Table'!B:B, 0))</f>
        <v/>
      </c>
      <c r="G1339">
        <f>IF(ISBLANK(A1339), "", XLOOKUP(C1339, 'Fees &amp; Postage Table'!A:A, 'Fees &amp; Postage Table'!D:D, 0))</f>
        <v/>
      </c>
      <c r="H1339">
        <f>IF(ISBLANK(A1339), "", B1339 - E1339 - F1339 - G1339)</f>
        <v/>
      </c>
      <c r="I1339">
        <f>IF(ISBLANK(A1339), "", D1339 - XLOOKUP(A1339, Inventory!A:A, Inventory!H:H, TODAY()))</f>
        <v/>
      </c>
    </row>
    <row r="1340">
      <c r="E1340">
        <f>IF(ISBLANK(A1340), "", XLOOKUP(A1340, Inventory!A:A, Inventory!E:E, 0))</f>
        <v/>
      </c>
      <c r="F1340">
        <f>IF(ISBLANK(A1340), "", (B1340 * XLOOKUP(C1340, 'Fees &amp; Postage Table'!A:A, 'Fees &amp; Postage Table'!C:C, 0)) + XLOOKUP(C1340, 'Fees &amp; Postage Table'!A:A, 'Fees &amp; Postage Table'!B:B, 0))</f>
        <v/>
      </c>
      <c r="G1340">
        <f>IF(ISBLANK(A1340), "", XLOOKUP(C1340, 'Fees &amp; Postage Table'!A:A, 'Fees &amp; Postage Table'!D:D, 0))</f>
        <v/>
      </c>
      <c r="H1340">
        <f>IF(ISBLANK(A1340), "", B1340 - E1340 - F1340 - G1340)</f>
        <v/>
      </c>
      <c r="I1340">
        <f>IF(ISBLANK(A1340), "", D1340 - XLOOKUP(A1340, Inventory!A:A, Inventory!H:H, TODAY()))</f>
        <v/>
      </c>
    </row>
    <row r="1341">
      <c r="E1341">
        <f>IF(ISBLANK(A1341), "", XLOOKUP(A1341, Inventory!A:A, Inventory!E:E, 0))</f>
        <v/>
      </c>
      <c r="F1341">
        <f>IF(ISBLANK(A1341), "", (B1341 * XLOOKUP(C1341, 'Fees &amp; Postage Table'!A:A, 'Fees &amp; Postage Table'!C:C, 0)) + XLOOKUP(C1341, 'Fees &amp; Postage Table'!A:A, 'Fees &amp; Postage Table'!B:B, 0))</f>
        <v/>
      </c>
      <c r="G1341">
        <f>IF(ISBLANK(A1341), "", XLOOKUP(C1341, 'Fees &amp; Postage Table'!A:A, 'Fees &amp; Postage Table'!D:D, 0))</f>
        <v/>
      </c>
      <c r="H1341">
        <f>IF(ISBLANK(A1341), "", B1341 - E1341 - F1341 - G1341)</f>
        <v/>
      </c>
      <c r="I1341">
        <f>IF(ISBLANK(A1341), "", D1341 - XLOOKUP(A1341, Inventory!A:A, Inventory!H:H, TODAY()))</f>
        <v/>
      </c>
    </row>
    <row r="1342">
      <c r="E1342">
        <f>IF(ISBLANK(A1342), "", XLOOKUP(A1342, Inventory!A:A, Inventory!E:E, 0))</f>
        <v/>
      </c>
      <c r="F1342">
        <f>IF(ISBLANK(A1342), "", (B1342 * XLOOKUP(C1342, 'Fees &amp; Postage Table'!A:A, 'Fees &amp; Postage Table'!C:C, 0)) + XLOOKUP(C1342, 'Fees &amp; Postage Table'!A:A, 'Fees &amp; Postage Table'!B:B, 0))</f>
        <v/>
      </c>
      <c r="G1342">
        <f>IF(ISBLANK(A1342), "", XLOOKUP(C1342, 'Fees &amp; Postage Table'!A:A, 'Fees &amp; Postage Table'!D:D, 0))</f>
        <v/>
      </c>
      <c r="H1342">
        <f>IF(ISBLANK(A1342), "", B1342 - E1342 - F1342 - G1342)</f>
        <v/>
      </c>
      <c r="I1342">
        <f>IF(ISBLANK(A1342), "", D1342 - XLOOKUP(A1342, Inventory!A:A, Inventory!H:H, TODAY()))</f>
        <v/>
      </c>
    </row>
    <row r="1343">
      <c r="E1343">
        <f>IF(ISBLANK(A1343), "", XLOOKUP(A1343, Inventory!A:A, Inventory!E:E, 0))</f>
        <v/>
      </c>
      <c r="F1343">
        <f>IF(ISBLANK(A1343), "", (B1343 * XLOOKUP(C1343, 'Fees &amp; Postage Table'!A:A, 'Fees &amp; Postage Table'!C:C, 0)) + XLOOKUP(C1343, 'Fees &amp; Postage Table'!A:A, 'Fees &amp; Postage Table'!B:B, 0))</f>
        <v/>
      </c>
      <c r="G1343">
        <f>IF(ISBLANK(A1343), "", XLOOKUP(C1343, 'Fees &amp; Postage Table'!A:A, 'Fees &amp; Postage Table'!D:D, 0))</f>
        <v/>
      </c>
      <c r="H1343">
        <f>IF(ISBLANK(A1343), "", B1343 - E1343 - F1343 - G1343)</f>
        <v/>
      </c>
      <c r="I1343">
        <f>IF(ISBLANK(A1343), "", D1343 - XLOOKUP(A1343, Inventory!A:A, Inventory!H:H, TODAY()))</f>
        <v/>
      </c>
    </row>
    <row r="1344">
      <c r="E1344">
        <f>IF(ISBLANK(A1344), "", XLOOKUP(A1344, Inventory!A:A, Inventory!E:E, 0))</f>
        <v/>
      </c>
      <c r="F1344">
        <f>IF(ISBLANK(A1344), "", (B1344 * XLOOKUP(C1344, 'Fees &amp; Postage Table'!A:A, 'Fees &amp; Postage Table'!C:C, 0)) + XLOOKUP(C1344, 'Fees &amp; Postage Table'!A:A, 'Fees &amp; Postage Table'!B:B, 0))</f>
        <v/>
      </c>
      <c r="G1344">
        <f>IF(ISBLANK(A1344), "", XLOOKUP(C1344, 'Fees &amp; Postage Table'!A:A, 'Fees &amp; Postage Table'!D:D, 0))</f>
        <v/>
      </c>
      <c r="H1344">
        <f>IF(ISBLANK(A1344), "", B1344 - E1344 - F1344 - G1344)</f>
        <v/>
      </c>
      <c r="I1344">
        <f>IF(ISBLANK(A1344), "", D1344 - XLOOKUP(A1344, Inventory!A:A, Inventory!H:H, TODAY()))</f>
        <v/>
      </c>
    </row>
    <row r="1345">
      <c r="E1345">
        <f>IF(ISBLANK(A1345), "", XLOOKUP(A1345, Inventory!A:A, Inventory!E:E, 0))</f>
        <v/>
      </c>
      <c r="F1345">
        <f>IF(ISBLANK(A1345), "", (B1345 * XLOOKUP(C1345, 'Fees &amp; Postage Table'!A:A, 'Fees &amp; Postage Table'!C:C, 0)) + XLOOKUP(C1345, 'Fees &amp; Postage Table'!A:A, 'Fees &amp; Postage Table'!B:B, 0))</f>
        <v/>
      </c>
      <c r="G1345">
        <f>IF(ISBLANK(A1345), "", XLOOKUP(C1345, 'Fees &amp; Postage Table'!A:A, 'Fees &amp; Postage Table'!D:D, 0))</f>
        <v/>
      </c>
      <c r="H1345">
        <f>IF(ISBLANK(A1345), "", B1345 - E1345 - F1345 - G1345)</f>
        <v/>
      </c>
      <c r="I1345">
        <f>IF(ISBLANK(A1345), "", D1345 - XLOOKUP(A1345, Inventory!A:A, Inventory!H:H, TODAY()))</f>
        <v/>
      </c>
    </row>
    <row r="1346">
      <c r="E1346">
        <f>IF(ISBLANK(A1346), "", XLOOKUP(A1346, Inventory!A:A, Inventory!E:E, 0))</f>
        <v/>
      </c>
      <c r="F1346">
        <f>IF(ISBLANK(A1346), "", (B1346 * XLOOKUP(C1346, 'Fees &amp; Postage Table'!A:A, 'Fees &amp; Postage Table'!C:C, 0)) + XLOOKUP(C1346, 'Fees &amp; Postage Table'!A:A, 'Fees &amp; Postage Table'!B:B, 0))</f>
        <v/>
      </c>
      <c r="G1346">
        <f>IF(ISBLANK(A1346), "", XLOOKUP(C1346, 'Fees &amp; Postage Table'!A:A, 'Fees &amp; Postage Table'!D:D, 0))</f>
        <v/>
      </c>
      <c r="H1346">
        <f>IF(ISBLANK(A1346), "", B1346 - E1346 - F1346 - G1346)</f>
        <v/>
      </c>
      <c r="I1346">
        <f>IF(ISBLANK(A1346), "", D1346 - XLOOKUP(A1346, Inventory!A:A, Inventory!H:H, TODAY()))</f>
        <v/>
      </c>
    </row>
    <row r="1347">
      <c r="E1347">
        <f>IF(ISBLANK(A1347), "", XLOOKUP(A1347, Inventory!A:A, Inventory!E:E, 0))</f>
        <v/>
      </c>
      <c r="F1347">
        <f>IF(ISBLANK(A1347), "", (B1347 * XLOOKUP(C1347, 'Fees &amp; Postage Table'!A:A, 'Fees &amp; Postage Table'!C:C, 0)) + XLOOKUP(C1347, 'Fees &amp; Postage Table'!A:A, 'Fees &amp; Postage Table'!B:B, 0))</f>
        <v/>
      </c>
      <c r="G1347">
        <f>IF(ISBLANK(A1347), "", XLOOKUP(C1347, 'Fees &amp; Postage Table'!A:A, 'Fees &amp; Postage Table'!D:D, 0))</f>
        <v/>
      </c>
      <c r="H1347">
        <f>IF(ISBLANK(A1347), "", B1347 - E1347 - F1347 - G1347)</f>
        <v/>
      </c>
      <c r="I1347">
        <f>IF(ISBLANK(A1347), "", D1347 - XLOOKUP(A1347, Inventory!A:A, Inventory!H:H, TODAY()))</f>
        <v/>
      </c>
    </row>
    <row r="1348">
      <c r="E1348">
        <f>IF(ISBLANK(A1348), "", XLOOKUP(A1348, Inventory!A:A, Inventory!E:E, 0))</f>
        <v/>
      </c>
      <c r="F1348">
        <f>IF(ISBLANK(A1348), "", (B1348 * XLOOKUP(C1348, 'Fees &amp; Postage Table'!A:A, 'Fees &amp; Postage Table'!C:C, 0)) + XLOOKUP(C1348, 'Fees &amp; Postage Table'!A:A, 'Fees &amp; Postage Table'!B:B, 0))</f>
        <v/>
      </c>
      <c r="G1348">
        <f>IF(ISBLANK(A1348), "", XLOOKUP(C1348, 'Fees &amp; Postage Table'!A:A, 'Fees &amp; Postage Table'!D:D, 0))</f>
        <v/>
      </c>
      <c r="H1348">
        <f>IF(ISBLANK(A1348), "", B1348 - E1348 - F1348 - G1348)</f>
        <v/>
      </c>
      <c r="I1348">
        <f>IF(ISBLANK(A1348), "", D1348 - XLOOKUP(A1348, Inventory!A:A, Inventory!H:H, TODAY()))</f>
        <v/>
      </c>
    </row>
    <row r="1349">
      <c r="E1349">
        <f>IF(ISBLANK(A1349), "", XLOOKUP(A1349, Inventory!A:A, Inventory!E:E, 0))</f>
        <v/>
      </c>
      <c r="F1349">
        <f>IF(ISBLANK(A1349), "", (B1349 * XLOOKUP(C1349, 'Fees &amp; Postage Table'!A:A, 'Fees &amp; Postage Table'!C:C, 0)) + XLOOKUP(C1349, 'Fees &amp; Postage Table'!A:A, 'Fees &amp; Postage Table'!B:B, 0))</f>
        <v/>
      </c>
      <c r="G1349">
        <f>IF(ISBLANK(A1349), "", XLOOKUP(C1349, 'Fees &amp; Postage Table'!A:A, 'Fees &amp; Postage Table'!D:D, 0))</f>
        <v/>
      </c>
      <c r="H1349">
        <f>IF(ISBLANK(A1349), "", B1349 - E1349 - F1349 - G1349)</f>
        <v/>
      </c>
      <c r="I1349">
        <f>IF(ISBLANK(A1349), "", D1349 - XLOOKUP(A1349, Inventory!A:A, Inventory!H:H, TODAY()))</f>
        <v/>
      </c>
    </row>
    <row r="1350">
      <c r="E1350">
        <f>IF(ISBLANK(A1350), "", XLOOKUP(A1350, Inventory!A:A, Inventory!E:E, 0))</f>
        <v/>
      </c>
      <c r="F1350">
        <f>IF(ISBLANK(A1350), "", (B1350 * XLOOKUP(C1350, 'Fees &amp; Postage Table'!A:A, 'Fees &amp; Postage Table'!C:C, 0)) + XLOOKUP(C1350, 'Fees &amp; Postage Table'!A:A, 'Fees &amp; Postage Table'!B:B, 0))</f>
        <v/>
      </c>
      <c r="G1350">
        <f>IF(ISBLANK(A1350), "", XLOOKUP(C1350, 'Fees &amp; Postage Table'!A:A, 'Fees &amp; Postage Table'!D:D, 0))</f>
        <v/>
      </c>
      <c r="H1350">
        <f>IF(ISBLANK(A1350), "", B1350 - E1350 - F1350 - G1350)</f>
        <v/>
      </c>
      <c r="I1350">
        <f>IF(ISBLANK(A1350), "", D1350 - XLOOKUP(A1350, Inventory!A:A, Inventory!H:H, TODAY()))</f>
        <v/>
      </c>
    </row>
    <row r="1351">
      <c r="E1351">
        <f>IF(ISBLANK(A1351), "", XLOOKUP(A1351, Inventory!A:A, Inventory!E:E, 0))</f>
        <v/>
      </c>
      <c r="F1351">
        <f>IF(ISBLANK(A1351), "", (B1351 * XLOOKUP(C1351, 'Fees &amp; Postage Table'!A:A, 'Fees &amp; Postage Table'!C:C, 0)) + XLOOKUP(C1351, 'Fees &amp; Postage Table'!A:A, 'Fees &amp; Postage Table'!B:B, 0))</f>
        <v/>
      </c>
      <c r="G1351">
        <f>IF(ISBLANK(A1351), "", XLOOKUP(C1351, 'Fees &amp; Postage Table'!A:A, 'Fees &amp; Postage Table'!D:D, 0))</f>
        <v/>
      </c>
      <c r="H1351">
        <f>IF(ISBLANK(A1351), "", B1351 - E1351 - F1351 - G1351)</f>
        <v/>
      </c>
      <c r="I1351">
        <f>IF(ISBLANK(A1351), "", D1351 - XLOOKUP(A1351, Inventory!A:A, Inventory!H:H, TODAY()))</f>
        <v/>
      </c>
    </row>
    <row r="1352">
      <c r="E1352">
        <f>IF(ISBLANK(A1352), "", XLOOKUP(A1352, Inventory!A:A, Inventory!E:E, 0))</f>
        <v/>
      </c>
      <c r="F1352">
        <f>IF(ISBLANK(A1352), "", (B1352 * XLOOKUP(C1352, 'Fees &amp; Postage Table'!A:A, 'Fees &amp; Postage Table'!C:C, 0)) + XLOOKUP(C1352, 'Fees &amp; Postage Table'!A:A, 'Fees &amp; Postage Table'!B:B, 0))</f>
        <v/>
      </c>
      <c r="G1352">
        <f>IF(ISBLANK(A1352), "", XLOOKUP(C1352, 'Fees &amp; Postage Table'!A:A, 'Fees &amp; Postage Table'!D:D, 0))</f>
        <v/>
      </c>
      <c r="H1352">
        <f>IF(ISBLANK(A1352), "", B1352 - E1352 - F1352 - G1352)</f>
        <v/>
      </c>
      <c r="I1352">
        <f>IF(ISBLANK(A1352), "", D1352 - XLOOKUP(A1352, Inventory!A:A, Inventory!H:H, TODAY()))</f>
        <v/>
      </c>
    </row>
    <row r="1353">
      <c r="E1353">
        <f>IF(ISBLANK(A1353), "", XLOOKUP(A1353, Inventory!A:A, Inventory!E:E, 0))</f>
        <v/>
      </c>
      <c r="F1353">
        <f>IF(ISBLANK(A1353), "", (B1353 * XLOOKUP(C1353, 'Fees &amp; Postage Table'!A:A, 'Fees &amp; Postage Table'!C:C, 0)) + XLOOKUP(C1353, 'Fees &amp; Postage Table'!A:A, 'Fees &amp; Postage Table'!B:B, 0))</f>
        <v/>
      </c>
      <c r="G1353">
        <f>IF(ISBLANK(A1353), "", XLOOKUP(C1353, 'Fees &amp; Postage Table'!A:A, 'Fees &amp; Postage Table'!D:D, 0))</f>
        <v/>
      </c>
      <c r="H1353">
        <f>IF(ISBLANK(A1353), "", B1353 - E1353 - F1353 - G1353)</f>
        <v/>
      </c>
      <c r="I1353">
        <f>IF(ISBLANK(A1353), "", D1353 - XLOOKUP(A1353, Inventory!A:A, Inventory!H:H, TODAY()))</f>
        <v/>
      </c>
    </row>
    <row r="1354">
      <c r="E1354">
        <f>IF(ISBLANK(A1354), "", XLOOKUP(A1354, Inventory!A:A, Inventory!E:E, 0))</f>
        <v/>
      </c>
      <c r="F1354">
        <f>IF(ISBLANK(A1354), "", (B1354 * XLOOKUP(C1354, 'Fees &amp; Postage Table'!A:A, 'Fees &amp; Postage Table'!C:C, 0)) + XLOOKUP(C1354, 'Fees &amp; Postage Table'!A:A, 'Fees &amp; Postage Table'!B:B, 0))</f>
        <v/>
      </c>
      <c r="G1354">
        <f>IF(ISBLANK(A1354), "", XLOOKUP(C1354, 'Fees &amp; Postage Table'!A:A, 'Fees &amp; Postage Table'!D:D, 0))</f>
        <v/>
      </c>
      <c r="H1354">
        <f>IF(ISBLANK(A1354), "", B1354 - E1354 - F1354 - G1354)</f>
        <v/>
      </c>
      <c r="I1354">
        <f>IF(ISBLANK(A1354), "", D1354 - XLOOKUP(A1354, Inventory!A:A, Inventory!H:H, TODAY()))</f>
        <v/>
      </c>
    </row>
    <row r="1355">
      <c r="E1355">
        <f>IF(ISBLANK(A1355), "", XLOOKUP(A1355, Inventory!A:A, Inventory!E:E, 0))</f>
        <v/>
      </c>
      <c r="F1355">
        <f>IF(ISBLANK(A1355), "", (B1355 * XLOOKUP(C1355, 'Fees &amp; Postage Table'!A:A, 'Fees &amp; Postage Table'!C:C, 0)) + XLOOKUP(C1355, 'Fees &amp; Postage Table'!A:A, 'Fees &amp; Postage Table'!B:B, 0))</f>
        <v/>
      </c>
      <c r="G1355">
        <f>IF(ISBLANK(A1355), "", XLOOKUP(C1355, 'Fees &amp; Postage Table'!A:A, 'Fees &amp; Postage Table'!D:D, 0))</f>
        <v/>
      </c>
      <c r="H1355">
        <f>IF(ISBLANK(A1355), "", B1355 - E1355 - F1355 - G1355)</f>
        <v/>
      </c>
      <c r="I1355">
        <f>IF(ISBLANK(A1355), "", D1355 - XLOOKUP(A1355, Inventory!A:A, Inventory!H:H, TODAY()))</f>
        <v/>
      </c>
    </row>
    <row r="1356">
      <c r="E1356">
        <f>IF(ISBLANK(A1356), "", XLOOKUP(A1356, Inventory!A:A, Inventory!E:E, 0))</f>
        <v/>
      </c>
      <c r="F1356">
        <f>IF(ISBLANK(A1356), "", (B1356 * XLOOKUP(C1356, 'Fees &amp; Postage Table'!A:A, 'Fees &amp; Postage Table'!C:C, 0)) + XLOOKUP(C1356, 'Fees &amp; Postage Table'!A:A, 'Fees &amp; Postage Table'!B:B, 0))</f>
        <v/>
      </c>
      <c r="G1356">
        <f>IF(ISBLANK(A1356), "", XLOOKUP(C1356, 'Fees &amp; Postage Table'!A:A, 'Fees &amp; Postage Table'!D:D, 0))</f>
        <v/>
      </c>
      <c r="H1356">
        <f>IF(ISBLANK(A1356), "", B1356 - E1356 - F1356 - G1356)</f>
        <v/>
      </c>
      <c r="I1356">
        <f>IF(ISBLANK(A1356), "", D1356 - XLOOKUP(A1356, Inventory!A:A, Inventory!H:H, TODAY()))</f>
        <v/>
      </c>
    </row>
    <row r="1357">
      <c r="E1357">
        <f>IF(ISBLANK(A1357), "", XLOOKUP(A1357, Inventory!A:A, Inventory!E:E, 0))</f>
        <v/>
      </c>
      <c r="F1357">
        <f>IF(ISBLANK(A1357), "", (B1357 * XLOOKUP(C1357, 'Fees &amp; Postage Table'!A:A, 'Fees &amp; Postage Table'!C:C, 0)) + XLOOKUP(C1357, 'Fees &amp; Postage Table'!A:A, 'Fees &amp; Postage Table'!B:B, 0))</f>
        <v/>
      </c>
      <c r="G1357">
        <f>IF(ISBLANK(A1357), "", XLOOKUP(C1357, 'Fees &amp; Postage Table'!A:A, 'Fees &amp; Postage Table'!D:D, 0))</f>
        <v/>
      </c>
      <c r="H1357">
        <f>IF(ISBLANK(A1357), "", B1357 - E1357 - F1357 - G1357)</f>
        <v/>
      </c>
      <c r="I1357">
        <f>IF(ISBLANK(A1357), "", D1357 - XLOOKUP(A1357, Inventory!A:A, Inventory!H:H, TODAY()))</f>
        <v/>
      </c>
    </row>
    <row r="1358">
      <c r="E1358">
        <f>IF(ISBLANK(A1358), "", XLOOKUP(A1358, Inventory!A:A, Inventory!E:E, 0))</f>
        <v/>
      </c>
      <c r="F1358">
        <f>IF(ISBLANK(A1358), "", (B1358 * XLOOKUP(C1358, 'Fees &amp; Postage Table'!A:A, 'Fees &amp; Postage Table'!C:C, 0)) + XLOOKUP(C1358, 'Fees &amp; Postage Table'!A:A, 'Fees &amp; Postage Table'!B:B, 0))</f>
        <v/>
      </c>
      <c r="G1358">
        <f>IF(ISBLANK(A1358), "", XLOOKUP(C1358, 'Fees &amp; Postage Table'!A:A, 'Fees &amp; Postage Table'!D:D, 0))</f>
        <v/>
      </c>
      <c r="H1358">
        <f>IF(ISBLANK(A1358), "", B1358 - E1358 - F1358 - G1358)</f>
        <v/>
      </c>
      <c r="I1358">
        <f>IF(ISBLANK(A1358), "", D1358 - XLOOKUP(A1358, Inventory!A:A, Inventory!H:H, TODAY()))</f>
        <v/>
      </c>
    </row>
    <row r="1359">
      <c r="E1359">
        <f>IF(ISBLANK(A1359), "", XLOOKUP(A1359, Inventory!A:A, Inventory!E:E, 0))</f>
        <v/>
      </c>
      <c r="F1359">
        <f>IF(ISBLANK(A1359), "", (B1359 * XLOOKUP(C1359, 'Fees &amp; Postage Table'!A:A, 'Fees &amp; Postage Table'!C:C, 0)) + XLOOKUP(C1359, 'Fees &amp; Postage Table'!A:A, 'Fees &amp; Postage Table'!B:B, 0))</f>
        <v/>
      </c>
      <c r="G1359">
        <f>IF(ISBLANK(A1359), "", XLOOKUP(C1359, 'Fees &amp; Postage Table'!A:A, 'Fees &amp; Postage Table'!D:D, 0))</f>
        <v/>
      </c>
      <c r="H1359">
        <f>IF(ISBLANK(A1359), "", B1359 - E1359 - F1359 - G1359)</f>
        <v/>
      </c>
      <c r="I1359">
        <f>IF(ISBLANK(A1359), "", D1359 - XLOOKUP(A1359, Inventory!A:A, Inventory!H:H, TODAY()))</f>
        <v/>
      </c>
    </row>
    <row r="1360">
      <c r="E1360">
        <f>IF(ISBLANK(A1360), "", XLOOKUP(A1360, Inventory!A:A, Inventory!E:E, 0))</f>
        <v/>
      </c>
      <c r="F1360">
        <f>IF(ISBLANK(A1360), "", (B1360 * XLOOKUP(C1360, 'Fees &amp; Postage Table'!A:A, 'Fees &amp; Postage Table'!C:C, 0)) + XLOOKUP(C1360, 'Fees &amp; Postage Table'!A:A, 'Fees &amp; Postage Table'!B:B, 0))</f>
        <v/>
      </c>
      <c r="G1360">
        <f>IF(ISBLANK(A1360), "", XLOOKUP(C1360, 'Fees &amp; Postage Table'!A:A, 'Fees &amp; Postage Table'!D:D, 0))</f>
        <v/>
      </c>
      <c r="H1360">
        <f>IF(ISBLANK(A1360), "", B1360 - E1360 - F1360 - G1360)</f>
        <v/>
      </c>
      <c r="I1360">
        <f>IF(ISBLANK(A1360), "", D1360 - XLOOKUP(A1360, Inventory!A:A, Inventory!H:H, TODAY()))</f>
        <v/>
      </c>
    </row>
    <row r="1361">
      <c r="E1361">
        <f>IF(ISBLANK(A1361), "", XLOOKUP(A1361, Inventory!A:A, Inventory!E:E, 0))</f>
        <v/>
      </c>
      <c r="F1361">
        <f>IF(ISBLANK(A1361), "", (B1361 * XLOOKUP(C1361, 'Fees &amp; Postage Table'!A:A, 'Fees &amp; Postage Table'!C:C, 0)) + XLOOKUP(C1361, 'Fees &amp; Postage Table'!A:A, 'Fees &amp; Postage Table'!B:B, 0))</f>
        <v/>
      </c>
      <c r="G1361">
        <f>IF(ISBLANK(A1361), "", XLOOKUP(C1361, 'Fees &amp; Postage Table'!A:A, 'Fees &amp; Postage Table'!D:D, 0))</f>
        <v/>
      </c>
      <c r="H1361">
        <f>IF(ISBLANK(A1361), "", B1361 - E1361 - F1361 - G1361)</f>
        <v/>
      </c>
      <c r="I1361">
        <f>IF(ISBLANK(A1361), "", D1361 - XLOOKUP(A1361, Inventory!A:A, Inventory!H:H, TODAY()))</f>
        <v/>
      </c>
    </row>
    <row r="1362">
      <c r="E1362">
        <f>IF(ISBLANK(A1362), "", XLOOKUP(A1362, Inventory!A:A, Inventory!E:E, 0))</f>
        <v/>
      </c>
      <c r="F1362">
        <f>IF(ISBLANK(A1362), "", (B1362 * XLOOKUP(C1362, 'Fees &amp; Postage Table'!A:A, 'Fees &amp; Postage Table'!C:C, 0)) + XLOOKUP(C1362, 'Fees &amp; Postage Table'!A:A, 'Fees &amp; Postage Table'!B:B, 0))</f>
        <v/>
      </c>
      <c r="G1362">
        <f>IF(ISBLANK(A1362), "", XLOOKUP(C1362, 'Fees &amp; Postage Table'!A:A, 'Fees &amp; Postage Table'!D:D, 0))</f>
        <v/>
      </c>
      <c r="H1362">
        <f>IF(ISBLANK(A1362), "", B1362 - E1362 - F1362 - G1362)</f>
        <v/>
      </c>
      <c r="I1362">
        <f>IF(ISBLANK(A1362), "", D1362 - XLOOKUP(A1362, Inventory!A:A, Inventory!H:H, TODAY()))</f>
        <v/>
      </c>
    </row>
    <row r="1363">
      <c r="E1363">
        <f>IF(ISBLANK(A1363), "", XLOOKUP(A1363, Inventory!A:A, Inventory!E:E, 0))</f>
        <v/>
      </c>
      <c r="F1363">
        <f>IF(ISBLANK(A1363), "", (B1363 * XLOOKUP(C1363, 'Fees &amp; Postage Table'!A:A, 'Fees &amp; Postage Table'!C:C, 0)) + XLOOKUP(C1363, 'Fees &amp; Postage Table'!A:A, 'Fees &amp; Postage Table'!B:B, 0))</f>
        <v/>
      </c>
      <c r="G1363">
        <f>IF(ISBLANK(A1363), "", XLOOKUP(C1363, 'Fees &amp; Postage Table'!A:A, 'Fees &amp; Postage Table'!D:D, 0))</f>
        <v/>
      </c>
      <c r="H1363">
        <f>IF(ISBLANK(A1363), "", B1363 - E1363 - F1363 - G1363)</f>
        <v/>
      </c>
      <c r="I1363">
        <f>IF(ISBLANK(A1363), "", D1363 - XLOOKUP(A1363, Inventory!A:A, Inventory!H:H, TODAY()))</f>
        <v/>
      </c>
    </row>
    <row r="1364">
      <c r="E1364">
        <f>IF(ISBLANK(A1364), "", XLOOKUP(A1364, Inventory!A:A, Inventory!E:E, 0))</f>
        <v/>
      </c>
      <c r="F1364">
        <f>IF(ISBLANK(A1364), "", (B1364 * XLOOKUP(C1364, 'Fees &amp; Postage Table'!A:A, 'Fees &amp; Postage Table'!C:C, 0)) + XLOOKUP(C1364, 'Fees &amp; Postage Table'!A:A, 'Fees &amp; Postage Table'!B:B, 0))</f>
        <v/>
      </c>
      <c r="G1364">
        <f>IF(ISBLANK(A1364), "", XLOOKUP(C1364, 'Fees &amp; Postage Table'!A:A, 'Fees &amp; Postage Table'!D:D, 0))</f>
        <v/>
      </c>
      <c r="H1364">
        <f>IF(ISBLANK(A1364), "", B1364 - E1364 - F1364 - G1364)</f>
        <v/>
      </c>
      <c r="I1364">
        <f>IF(ISBLANK(A1364), "", D1364 - XLOOKUP(A1364, Inventory!A:A, Inventory!H:H, TODAY()))</f>
        <v/>
      </c>
    </row>
    <row r="1365">
      <c r="E1365">
        <f>IF(ISBLANK(A1365), "", XLOOKUP(A1365, Inventory!A:A, Inventory!E:E, 0))</f>
        <v/>
      </c>
      <c r="F1365">
        <f>IF(ISBLANK(A1365), "", (B1365 * XLOOKUP(C1365, 'Fees &amp; Postage Table'!A:A, 'Fees &amp; Postage Table'!C:C, 0)) + XLOOKUP(C1365, 'Fees &amp; Postage Table'!A:A, 'Fees &amp; Postage Table'!B:B, 0))</f>
        <v/>
      </c>
      <c r="G1365">
        <f>IF(ISBLANK(A1365), "", XLOOKUP(C1365, 'Fees &amp; Postage Table'!A:A, 'Fees &amp; Postage Table'!D:D, 0))</f>
        <v/>
      </c>
      <c r="H1365">
        <f>IF(ISBLANK(A1365), "", B1365 - E1365 - F1365 - G1365)</f>
        <v/>
      </c>
      <c r="I1365">
        <f>IF(ISBLANK(A1365), "", D1365 - XLOOKUP(A1365, Inventory!A:A, Inventory!H:H, TODAY()))</f>
        <v/>
      </c>
    </row>
    <row r="1366">
      <c r="E1366">
        <f>IF(ISBLANK(A1366), "", XLOOKUP(A1366, Inventory!A:A, Inventory!E:E, 0))</f>
        <v/>
      </c>
      <c r="F1366">
        <f>IF(ISBLANK(A1366), "", (B1366 * XLOOKUP(C1366, 'Fees &amp; Postage Table'!A:A, 'Fees &amp; Postage Table'!C:C, 0)) + XLOOKUP(C1366, 'Fees &amp; Postage Table'!A:A, 'Fees &amp; Postage Table'!B:B, 0))</f>
        <v/>
      </c>
      <c r="G1366">
        <f>IF(ISBLANK(A1366), "", XLOOKUP(C1366, 'Fees &amp; Postage Table'!A:A, 'Fees &amp; Postage Table'!D:D, 0))</f>
        <v/>
      </c>
      <c r="H1366">
        <f>IF(ISBLANK(A1366), "", B1366 - E1366 - F1366 - G1366)</f>
        <v/>
      </c>
      <c r="I1366">
        <f>IF(ISBLANK(A1366), "", D1366 - XLOOKUP(A1366, Inventory!A:A, Inventory!H:H, TODAY()))</f>
        <v/>
      </c>
    </row>
    <row r="1367">
      <c r="E1367">
        <f>IF(ISBLANK(A1367), "", XLOOKUP(A1367, Inventory!A:A, Inventory!E:E, 0))</f>
        <v/>
      </c>
      <c r="F1367">
        <f>IF(ISBLANK(A1367), "", (B1367 * XLOOKUP(C1367, 'Fees &amp; Postage Table'!A:A, 'Fees &amp; Postage Table'!C:C, 0)) + XLOOKUP(C1367, 'Fees &amp; Postage Table'!A:A, 'Fees &amp; Postage Table'!B:B, 0))</f>
        <v/>
      </c>
      <c r="G1367">
        <f>IF(ISBLANK(A1367), "", XLOOKUP(C1367, 'Fees &amp; Postage Table'!A:A, 'Fees &amp; Postage Table'!D:D, 0))</f>
        <v/>
      </c>
      <c r="H1367">
        <f>IF(ISBLANK(A1367), "", B1367 - E1367 - F1367 - G1367)</f>
        <v/>
      </c>
      <c r="I1367">
        <f>IF(ISBLANK(A1367), "", D1367 - XLOOKUP(A1367, Inventory!A:A, Inventory!H:H, TODAY()))</f>
        <v/>
      </c>
    </row>
    <row r="1368">
      <c r="E1368">
        <f>IF(ISBLANK(A1368), "", XLOOKUP(A1368, Inventory!A:A, Inventory!E:E, 0))</f>
        <v/>
      </c>
      <c r="F1368">
        <f>IF(ISBLANK(A1368), "", (B1368 * XLOOKUP(C1368, 'Fees &amp; Postage Table'!A:A, 'Fees &amp; Postage Table'!C:C, 0)) + XLOOKUP(C1368, 'Fees &amp; Postage Table'!A:A, 'Fees &amp; Postage Table'!B:B, 0))</f>
        <v/>
      </c>
      <c r="G1368">
        <f>IF(ISBLANK(A1368), "", XLOOKUP(C1368, 'Fees &amp; Postage Table'!A:A, 'Fees &amp; Postage Table'!D:D, 0))</f>
        <v/>
      </c>
      <c r="H1368">
        <f>IF(ISBLANK(A1368), "", B1368 - E1368 - F1368 - G1368)</f>
        <v/>
      </c>
      <c r="I1368">
        <f>IF(ISBLANK(A1368), "", D1368 - XLOOKUP(A1368, Inventory!A:A, Inventory!H:H, TODAY()))</f>
        <v/>
      </c>
    </row>
    <row r="1369">
      <c r="E1369">
        <f>IF(ISBLANK(A1369), "", XLOOKUP(A1369, Inventory!A:A, Inventory!E:E, 0))</f>
        <v/>
      </c>
      <c r="F1369">
        <f>IF(ISBLANK(A1369), "", (B1369 * XLOOKUP(C1369, 'Fees &amp; Postage Table'!A:A, 'Fees &amp; Postage Table'!C:C, 0)) + XLOOKUP(C1369, 'Fees &amp; Postage Table'!A:A, 'Fees &amp; Postage Table'!B:B, 0))</f>
        <v/>
      </c>
      <c r="G1369">
        <f>IF(ISBLANK(A1369), "", XLOOKUP(C1369, 'Fees &amp; Postage Table'!A:A, 'Fees &amp; Postage Table'!D:D, 0))</f>
        <v/>
      </c>
      <c r="H1369">
        <f>IF(ISBLANK(A1369), "", B1369 - E1369 - F1369 - G1369)</f>
        <v/>
      </c>
      <c r="I1369">
        <f>IF(ISBLANK(A1369), "", D1369 - XLOOKUP(A1369, Inventory!A:A, Inventory!H:H, TODAY()))</f>
        <v/>
      </c>
    </row>
    <row r="1370">
      <c r="E1370">
        <f>IF(ISBLANK(A1370), "", XLOOKUP(A1370, Inventory!A:A, Inventory!E:E, 0))</f>
        <v/>
      </c>
      <c r="F1370">
        <f>IF(ISBLANK(A1370), "", (B1370 * XLOOKUP(C1370, 'Fees &amp; Postage Table'!A:A, 'Fees &amp; Postage Table'!C:C, 0)) + XLOOKUP(C1370, 'Fees &amp; Postage Table'!A:A, 'Fees &amp; Postage Table'!B:B, 0))</f>
        <v/>
      </c>
      <c r="G1370">
        <f>IF(ISBLANK(A1370), "", XLOOKUP(C1370, 'Fees &amp; Postage Table'!A:A, 'Fees &amp; Postage Table'!D:D, 0))</f>
        <v/>
      </c>
      <c r="H1370">
        <f>IF(ISBLANK(A1370), "", B1370 - E1370 - F1370 - G1370)</f>
        <v/>
      </c>
      <c r="I1370">
        <f>IF(ISBLANK(A1370), "", D1370 - XLOOKUP(A1370, Inventory!A:A, Inventory!H:H, TODAY()))</f>
        <v/>
      </c>
    </row>
    <row r="1371">
      <c r="E1371">
        <f>IF(ISBLANK(A1371), "", XLOOKUP(A1371, Inventory!A:A, Inventory!E:E, 0))</f>
        <v/>
      </c>
      <c r="F1371">
        <f>IF(ISBLANK(A1371), "", (B1371 * XLOOKUP(C1371, 'Fees &amp; Postage Table'!A:A, 'Fees &amp; Postage Table'!C:C, 0)) + XLOOKUP(C1371, 'Fees &amp; Postage Table'!A:A, 'Fees &amp; Postage Table'!B:B, 0))</f>
        <v/>
      </c>
      <c r="G1371">
        <f>IF(ISBLANK(A1371), "", XLOOKUP(C1371, 'Fees &amp; Postage Table'!A:A, 'Fees &amp; Postage Table'!D:D, 0))</f>
        <v/>
      </c>
      <c r="H1371">
        <f>IF(ISBLANK(A1371), "", B1371 - E1371 - F1371 - G1371)</f>
        <v/>
      </c>
      <c r="I1371">
        <f>IF(ISBLANK(A1371), "", D1371 - XLOOKUP(A1371, Inventory!A:A, Inventory!H:H, TODAY()))</f>
        <v/>
      </c>
    </row>
    <row r="1372">
      <c r="E1372">
        <f>IF(ISBLANK(A1372), "", XLOOKUP(A1372, Inventory!A:A, Inventory!E:E, 0))</f>
        <v/>
      </c>
      <c r="F1372">
        <f>IF(ISBLANK(A1372), "", (B1372 * XLOOKUP(C1372, 'Fees &amp; Postage Table'!A:A, 'Fees &amp; Postage Table'!C:C, 0)) + XLOOKUP(C1372, 'Fees &amp; Postage Table'!A:A, 'Fees &amp; Postage Table'!B:B, 0))</f>
        <v/>
      </c>
      <c r="G1372">
        <f>IF(ISBLANK(A1372), "", XLOOKUP(C1372, 'Fees &amp; Postage Table'!A:A, 'Fees &amp; Postage Table'!D:D, 0))</f>
        <v/>
      </c>
      <c r="H1372">
        <f>IF(ISBLANK(A1372), "", B1372 - E1372 - F1372 - G1372)</f>
        <v/>
      </c>
      <c r="I1372">
        <f>IF(ISBLANK(A1372), "", D1372 - XLOOKUP(A1372, Inventory!A:A, Inventory!H:H, TODAY()))</f>
        <v/>
      </c>
    </row>
    <row r="1373">
      <c r="E1373">
        <f>IF(ISBLANK(A1373), "", XLOOKUP(A1373, Inventory!A:A, Inventory!E:E, 0))</f>
        <v/>
      </c>
      <c r="F1373">
        <f>IF(ISBLANK(A1373), "", (B1373 * XLOOKUP(C1373, 'Fees &amp; Postage Table'!A:A, 'Fees &amp; Postage Table'!C:C, 0)) + XLOOKUP(C1373, 'Fees &amp; Postage Table'!A:A, 'Fees &amp; Postage Table'!B:B, 0))</f>
        <v/>
      </c>
      <c r="G1373">
        <f>IF(ISBLANK(A1373), "", XLOOKUP(C1373, 'Fees &amp; Postage Table'!A:A, 'Fees &amp; Postage Table'!D:D, 0))</f>
        <v/>
      </c>
      <c r="H1373">
        <f>IF(ISBLANK(A1373), "", B1373 - E1373 - F1373 - G1373)</f>
        <v/>
      </c>
      <c r="I1373">
        <f>IF(ISBLANK(A1373), "", D1373 - XLOOKUP(A1373, Inventory!A:A, Inventory!H:H, TODAY()))</f>
        <v/>
      </c>
    </row>
    <row r="1374">
      <c r="E1374">
        <f>IF(ISBLANK(A1374), "", XLOOKUP(A1374, Inventory!A:A, Inventory!E:E, 0))</f>
        <v/>
      </c>
      <c r="F1374">
        <f>IF(ISBLANK(A1374), "", (B1374 * XLOOKUP(C1374, 'Fees &amp; Postage Table'!A:A, 'Fees &amp; Postage Table'!C:C, 0)) + XLOOKUP(C1374, 'Fees &amp; Postage Table'!A:A, 'Fees &amp; Postage Table'!B:B, 0))</f>
        <v/>
      </c>
      <c r="G1374">
        <f>IF(ISBLANK(A1374), "", XLOOKUP(C1374, 'Fees &amp; Postage Table'!A:A, 'Fees &amp; Postage Table'!D:D, 0))</f>
        <v/>
      </c>
      <c r="H1374">
        <f>IF(ISBLANK(A1374), "", B1374 - E1374 - F1374 - G1374)</f>
        <v/>
      </c>
      <c r="I1374">
        <f>IF(ISBLANK(A1374), "", D1374 - XLOOKUP(A1374, Inventory!A:A, Inventory!H:H, TODAY()))</f>
        <v/>
      </c>
    </row>
    <row r="1375">
      <c r="E1375">
        <f>IF(ISBLANK(A1375), "", XLOOKUP(A1375, Inventory!A:A, Inventory!E:E, 0))</f>
        <v/>
      </c>
      <c r="F1375">
        <f>IF(ISBLANK(A1375), "", (B1375 * XLOOKUP(C1375, 'Fees &amp; Postage Table'!A:A, 'Fees &amp; Postage Table'!C:C, 0)) + XLOOKUP(C1375, 'Fees &amp; Postage Table'!A:A, 'Fees &amp; Postage Table'!B:B, 0))</f>
        <v/>
      </c>
      <c r="G1375">
        <f>IF(ISBLANK(A1375), "", XLOOKUP(C1375, 'Fees &amp; Postage Table'!A:A, 'Fees &amp; Postage Table'!D:D, 0))</f>
        <v/>
      </c>
      <c r="H1375">
        <f>IF(ISBLANK(A1375), "", B1375 - E1375 - F1375 - G1375)</f>
        <v/>
      </c>
      <c r="I1375">
        <f>IF(ISBLANK(A1375), "", D1375 - XLOOKUP(A1375, Inventory!A:A, Inventory!H:H, TODAY()))</f>
        <v/>
      </c>
    </row>
    <row r="1376">
      <c r="E1376">
        <f>IF(ISBLANK(A1376), "", XLOOKUP(A1376, Inventory!A:A, Inventory!E:E, 0))</f>
        <v/>
      </c>
      <c r="F1376">
        <f>IF(ISBLANK(A1376), "", (B1376 * XLOOKUP(C1376, 'Fees &amp; Postage Table'!A:A, 'Fees &amp; Postage Table'!C:C, 0)) + XLOOKUP(C1376, 'Fees &amp; Postage Table'!A:A, 'Fees &amp; Postage Table'!B:B, 0))</f>
        <v/>
      </c>
      <c r="G1376">
        <f>IF(ISBLANK(A1376), "", XLOOKUP(C1376, 'Fees &amp; Postage Table'!A:A, 'Fees &amp; Postage Table'!D:D, 0))</f>
        <v/>
      </c>
      <c r="H1376">
        <f>IF(ISBLANK(A1376), "", B1376 - E1376 - F1376 - G1376)</f>
        <v/>
      </c>
      <c r="I1376">
        <f>IF(ISBLANK(A1376), "", D1376 - XLOOKUP(A1376, Inventory!A:A, Inventory!H:H, TODAY()))</f>
        <v/>
      </c>
    </row>
    <row r="1377">
      <c r="E1377">
        <f>IF(ISBLANK(A1377), "", XLOOKUP(A1377, Inventory!A:A, Inventory!E:E, 0))</f>
        <v/>
      </c>
      <c r="F1377">
        <f>IF(ISBLANK(A1377), "", (B1377 * XLOOKUP(C1377, 'Fees &amp; Postage Table'!A:A, 'Fees &amp; Postage Table'!C:C, 0)) + XLOOKUP(C1377, 'Fees &amp; Postage Table'!A:A, 'Fees &amp; Postage Table'!B:B, 0))</f>
        <v/>
      </c>
      <c r="G1377">
        <f>IF(ISBLANK(A1377), "", XLOOKUP(C1377, 'Fees &amp; Postage Table'!A:A, 'Fees &amp; Postage Table'!D:D, 0))</f>
        <v/>
      </c>
      <c r="H1377">
        <f>IF(ISBLANK(A1377), "", B1377 - E1377 - F1377 - G1377)</f>
        <v/>
      </c>
      <c r="I1377">
        <f>IF(ISBLANK(A1377), "", D1377 - XLOOKUP(A1377, Inventory!A:A, Inventory!H:H, TODAY()))</f>
        <v/>
      </c>
    </row>
    <row r="1378">
      <c r="E1378">
        <f>IF(ISBLANK(A1378), "", XLOOKUP(A1378, Inventory!A:A, Inventory!E:E, 0))</f>
        <v/>
      </c>
      <c r="F1378">
        <f>IF(ISBLANK(A1378), "", (B1378 * XLOOKUP(C1378, 'Fees &amp; Postage Table'!A:A, 'Fees &amp; Postage Table'!C:C, 0)) + XLOOKUP(C1378, 'Fees &amp; Postage Table'!A:A, 'Fees &amp; Postage Table'!B:B, 0))</f>
        <v/>
      </c>
      <c r="G1378">
        <f>IF(ISBLANK(A1378), "", XLOOKUP(C1378, 'Fees &amp; Postage Table'!A:A, 'Fees &amp; Postage Table'!D:D, 0))</f>
        <v/>
      </c>
      <c r="H1378">
        <f>IF(ISBLANK(A1378), "", B1378 - E1378 - F1378 - G1378)</f>
        <v/>
      </c>
      <c r="I1378">
        <f>IF(ISBLANK(A1378), "", D1378 - XLOOKUP(A1378, Inventory!A:A, Inventory!H:H, TODAY()))</f>
        <v/>
      </c>
    </row>
    <row r="1379">
      <c r="E1379">
        <f>IF(ISBLANK(A1379), "", XLOOKUP(A1379, Inventory!A:A, Inventory!E:E, 0))</f>
        <v/>
      </c>
      <c r="F1379">
        <f>IF(ISBLANK(A1379), "", (B1379 * XLOOKUP(C1379, 'Fees &amp; Postage Table'!A:A, 'Fees &amp; Postage Table'!C:C, 0)) + XLOOKUP(C1379, 'Fees &amp; Postage Table'!A:A, 'Fees &amp; Postage Table'!B:B, 0))</f>
        <v/>
      </c>
      <c r="G1379">
        <f>IF(ISBLANK(A1379), "", XLOOKUP(C1379, 'Fees &amp; Postage Table'!A:A, 'Fees &amp; Postage Table'!D:D, 0))</f>
        <v/>
      </c>
      <c r="H1379">
        <f>IF(ISBLANK(A1379), "", B1379 - E1379 - F1379 - G1379)</f>
        <v/>
      </c>
      <c r="I1379">
        <f>IF(ISBLANK(A1379), "", D1379 - XLOOKUP(A1379, Inventory!A:A, Inventory!H:H, TODAY()))</f>
        <v/>
      </c>
    </row>
    <row r="1380">
      <c r="E1380">
        <f>IF(ISBLANK(A1380), "", XLOOKUP(A1380, Inventory!A:A, Inventory!E:E, 0))</f>
        <v/>
      </c>
      <c r="F1380">
        <f>IF(ISBLANK(A1380), "", (B1380 * XLOOKUP(C1380, 'Fees &amp; Postage Table'!A:A, 'Fees &amp; Postage Table'!C:C, 0)) + XLOOKUP(C1380, 'Fees &amp; Postage Table'!A:A, 'Fees &amp; Postage Table'!B:B, 0))</f>
        <v/>
      </c>
      <c r="G1380">
        <f>IF(ISBLANK(A1380), "", XLOOKUP(C1380, 'Fees &amp; Postage Table'!A:A, 'Fees &amp; Postage Table'!D:D, 0))</f>
        <v/>
      </c>
      <c r="H1380">
        <f>IF(ISBLANK(A1380), "", B1380 - E1380 - F1380 - G1380)</f>
        <v/>
      </c>
      <c r="I1380">
        <f>IF(ISBLANK(A1380), "", D1380 - XLOOKUP(A1380, Inventory!A:A, Inventory!H:H, TODAY()))</f>
        <v/>
      </c>
    </row>
    <row r="1381">
      <c r="E1381">
        <f>IF(ISBLANK(A1381), "", XLOOKUP(A1381, Inventory!A:A, Inventory!E:E, 0))</f>
        <v/>
      </c>
      <c r="F1381">
        <f>IF(ISBLANK(A1381), "", (B1381 * XLOOKUP(C1381, 'Fees &amp; Postage Table'!A:A, 'Fees &amp; Postage Table'!C:C, 0)) + XLOOKUP(C1381, 'Fees &amp; Postage Table'!A:A, 'Fees &amp; Postage Table'!B:B, 0))</f>
        <v/>
      </c>
      <c r="G1381">
        <f>IF(ISBLANK(A1381), "", XLOOKUP(C1381, 'Fees &amp; Postage Table'!A:A, 'Fees &amp; Postage Table'!D:D, 0))</f>
        <v/>
      </c>
      <c r="H1381">
        <f>IF(ISBLANK(A1381), "", B1381 - E1381 - F1381 - G1381)</f>
        <v/>
      </c>
      <c r="I1381">
        <f>IF(ISBLANK(A1381), "", D1381 - XLOOKUP(A1381, Inventory!A:A, Inventory!H:H, TODAY()))</f>
        <v/>
      </c>
    </row>
    <row r="1382">
      <c r="E1382">
        <f>IF(ISBLANK(A1382), "", XLOOKUP(A1382, Inventory!A:A, Inventory!E:E, 0))</f>
        <v/>
      </c>
      <c r="F1382">
        <f>IF(ISBLANK(A1382), "", (B1382 * XLOOKUP(C1382, 'Fees &amp; Postage Table'!A:A, 'Fees &amp; Postage Table'!C:C, 0)) + XLOOKUP(C1382, 'Fees &amp; Postage Table'!A:A, 'Fees &amp; Postage Table'!B:B, 0))</f>
        <v/>
      </c>
      <c r="G1382">
        <f>IF(ISBLANK(A1382), "", XLOOKUP(C1382, 'Fees &amp; Postage Table'!A:A, 'Fees &amp; Postage Table'!D:D, 0))</f>
        <v/>
      </c>
      <c r="H1382">
        <f>IF(ISBLANK(A1382), "", B1382 - E1382 - F1382 - G1382)</f>
        <v/>
      </c>
      <c r="I1382">
        <f>IF(ISBLANK(A1382), "", D1382 - XLOOKUP(A1382, Inventory!A:A, Inventory!H:H, TODAY()))</f>
        <v/>
      </c>
    </row>
    <row r="1383">
      <c r="E1383">
        <f>IF(ISBLANK(A1383), "", XLOOKUP(A1383, Inventory!A:A, Inventory!E:E, 0))</f>
        <v/>
      </c>
      <c r="F1383">
        <f>IF(ISBLANK(A1383), "", (B1383 * XLOOKUP(C1383, 'Fees &amp; Postage Table'!A:A, 'Fees &amp; Postage Table'!C:C, 0)) + XLOOKUP(C1383, 'Fees &amp; Postage Table'!A:A, 'Fees &amp; Postage Table'!B:B, 0))</f>
        <v/>
      </c>
      <c r="G1383">
        <f>IF(ISBLANK(A1383), "", XLOOKUP(C1383, 'Fees &amp; Postage Table'!A:A, 'Fees &amp; Postage Table'!D:D, 0))</f>
        <v/>
      </c>
      <c r="H1383">
        <f>IF(ISBLANK(A1383), "", B1383 - E1383 - F1383 - G1383)</f>
        <v/>
      </c>
      <c r="I1383">
        <f>IF(ISBLANK(A1383), "", D1383 - XLOOKUP(A1383, Inventory!A:A, Inventory!H:H, TODAY()))</f>
        <v/>
      </c>
    </row>
    <row r="1384">
      <c r="E1384">
        <f>IF(ISBLANK(A1384), "", XLOOKUP(A1384, Inventory!A:A, Inventory!E:E, 0))</f>
        <v/>
      </c>
      <c r="F1384">
        <f>IF(ISBLANK(A1384), "", (B1384 * XLOOKUP(C1384, 'Fees &amp; Postage Table'!A:A, 'Fees &amp; Postage Table'!C:C, 0)) + XLOOKUP(C1384, 'Fees &amp; Postage Table'!A:A, 'Fees &amp; Postage Table'!B:B, 0))</f>
        <v/>
      </c>
      <c r="G1384">
        <f>IF(ISBLANK(A1384), "", XLOOKUP(C1384, 'Fees &amp; Postage Table'!A:A, 'Fees &amp; Postage Table'!D:D, 0))</f>
        <v/>
      </c>
      <c r="H1384">
        <f>IF(ISBLANK(A1384), "", B1384 - E1384 - F1384 - G1384)</f>
        <v/>
      </c>
      <c r="I1384">
        <f>IF(ISBLANK(A1384), "", D1384 - XLOOKUP(A1384, Inventory!A:A, Inventory!H:H, TODAY()))</f>
        <v/>
      </c>
    </row>
    <row r="1385">
      <c r="E1385">
        <f>IF(ISBLANK(A1385), "", XLOOKUP(A1385, Inventory!A:A, Inventory!E:E, 0))</f>
        <v/>
      </c>
      <c r="F1385">
        <f>IF(ISBLANK(A1385), "", (B1385 * XLOOKUP(C1385, 'Fees &amp; Postage Table'!A:A, 'Fees &amp; Postage Table'!C:C, 0)) + XLOOKUP(C1385, 'Fees &amp; Postage Table'!A:A, 'Fees &amp; Postage Table'!B:B, 0))</f>
        <v/>
      </c>
      <c r="G1385">
        <f>IF(ISBLANK(A1385), "", XLOOKUP(C1385, 'Fees &amp; Postage Table'!A:A, 'Fees &amp; Postage Table'!D:D, 0))</f>
        <v/>
      </c>
      <c r="H1385">
        <f>IF(ISBLANK(A1385), "", B1385 - E1385 - F1385 - G1385)</f>
        <v/>
      </c>
      <c r="I1385">
        <f>IF(ISBLANK(A1385), "", D1385 - XLOOKUP(A1385, Inventory!A:A, Inventory!H:H, TODAY()))</f>
        <v/>
      </c>
    </row>
    <row r="1386">
      <c r="E1386">
        <f>IF(ISBLANK(A1386), "", XLOOKUP(A1386, Inventory!A:A, Inventory!E:E, 0))</f>
        <v/>
      </c>
      <c r="F1386">
        <f>IF(ISBLANK(A1386), "", (B1386 * XLOOKUP(C1386, 'Fees &amp; Postage Table'!A:A, 'Fees &amp; Postage Table'!C:C, 0)) + XLOOKUP(C1386, 'Fees &amp; Postage Table'!A:A, 'Fees &amp; Postage Table'!B:B, 0))</f>
        <v/>
      </c>
      <c r="G1386">
        <f>IF(ISBLANK(A1386), "", XLOOKUP(C1386, 'Fees &amp; Postage Table'!A:A, 'Fees &amp; Postage Table'!D:D, 0))</f>
        <v/>
      </c>
      <c r="H1386">
        <f>IF(ISBLANK(A1386), "", B1386 - E1386 - F1386 - G1386)</f>
        <v/>
      </c>
      <c r="I1386">
        <f>IF(ISBLANK(A1386), "", D1386 - XLOOKUP(A1386, Inventory!A:A, Inventory!H:H, TODAY()))</f>
        <v/>
      </c>
    </row>
    <row r="1387">
      <c r="E1387">
        <f>IF(ISBLANK(A1387), "", XLOOKUP(A1387, Inventory!A:A, Inventory!E:E, 0))</f>
        <v/>
      </c>
      <c r="F1387">
        <f>IF(ISBLANK(A1387), "", (B1387 * XLOOKUP(C1387, 'Fees &amp; Postage Table'!A:A, 'Fees &amp; Postage Table'!C:C, 0)) + XLOOKUP(C1387, 'Fees &amp; Postage Table'!A:A, 'Fees &amp; Postage Table'!B:B, 0))</f>
        <v/>
      </c>
      <c r="G1387">
        <f>IF(ISBLANK(A1387), "", XLOOKUP(C1387, 'Fees &amp; Postage Table'!A:A, 'Fees &amp; Postage Table'!D:D, 0))</f>
        <v/>
      </c>
      <c r="H1387">
        <f>IF(ISBLANK(A1387), "", B1387 - E1387 - F1387 - G1387)</f>
        <v/>
      </c>
      <c r="I1387">
        <f>IF(ISBLANK(A1387), "", D1387 - XLOOKUP(A1387, Inventory!A:A, Inventory!H:H, TODAY()))</f>
        <v/>
      </c>
    </row>
    <row r="1388">
      <c r="E1388">
        <f>IF(ISBLANK(A1388), "", XLOOKUP(A1388, Inventory!A:A, Inventory!E:E, 0))</f>
        <v/>
      </c>
      <c r="F1388">
        <f>IF(ISBLANK(A1388), "", (B1388 * XLOOKUP(C1388, 'Fees &amp; Postage Table'!A:A, 'Fees &amp; Postage Table'!C:C, 0)) + XLOOKUP(C1388, 'Fees &amp; Postage Table'!A:A, 'Fees &amp; Postage Table'!B:B, 0))</f>
        <v/>
      </c>
      <c r="G1388">
        <f>IF(ISBLANK(A1388), "", XLOOKUP(C1388, 'Fees &amp; Postage Table'!A:A, 'Fees &amp; Postage Table'!D:D, 0))</f>
        <v/>
      </c>
      <c r="H1388">
        <f>IF(ISBLANK(A1388), "", B1388 - E1388 - F1388 - G1388)</f>
        <v/>
      </c>
      <c r="I1388">
        <f>IF(ISBLANK(A1388), "", D1388 - XLOOKUP(A1388, Inventory!A:A, Inventory!H:H, TODAY()))</f>
        <v/>
      </c>
    </row>
    <row r="1389">
      <c r="E1389">
        <f>IF(ISBLANK(A1389), "", XLOOKUP(A1389, Inventory!A:A, Inventory!E:E, 0))</f>
        <v/>
      </c>
      <c r="F1389">
        <f>IF(ISBLANK(A1389), "", (B1389 * XLOOKUP(C1389, 'Fees &amp; Postage Table'!A:A, 'Fees &amp; Postage Table'!C:C, 0)) + XLOOKUP(C1389, 'Fees &amp; Postage Table'!A:A, 'Fees &amp; Postage Table'!B:B, 0))</f>
        <v/>
      </c>
      <c r="G1389">
        <f>IF(ISBLANK(A1389), "", XLOOKUP(C1389, 'Fees &amp; Postage Table'!A:A, 'Fees &amp; Postage Table'!D:D, 0))</f>
        <v/>
      </c>
      <c r="H1389">
        <f>IF(ISBLANK(A1389), "", B1389 - E1389 - F1389 - G1389)</f>
        <v/>
      </c>
      <c r="I1389">
        <f>IF(ISBLANK(A1389), "", D1389 - XLOOKUP(A1389, Inventory!A:A, Inventory!H:H, TODAY()))</f>
        <v/>
      </c>
    </row>
    <row r="1390">
      <c r="E1390">
        <f>IF(ISBLANK(A1390), "", XLOOKUP(A1390, Inventory!A:A, Inventory!E:E, 0))</f>
        <v/>
      </c>
      <c r="F1390">
        <f>IF(ISBLANK(A1390), "", (B1390 * XLOOKUP(C1390, 'Fees &amp; Postage Table'!A:A, 'Fees &amp; Postage Table'!C:C, 0)) + XLOOKUP(C1390, 'Fees &amp; Postage Table'!A:A, 'Fees &amp; Postage Table'!B:B, 0))</f>
        <v/>
      </c>
      <c r="G1390">
        <f>IF(ISBLANK(A1390), "", XLOOKUP(C1390, 'Fees &amp; Postage Table'!A:A, 'Fees &amp; Postage Table'!D:D, 0))</f>
        <v/>
      </c>
      <c r="H1390">
        <f>IF(ISBLANK(A1390), "", B1390 - E1390 - F1390 - G1390)</f>
        <v/>
      </c>
      <c r="I1390">
        <f>IF(ISBLANK(A1390), "", D1390 - XLOOKUP(A1390, Inventory!A:A, Inventory!H:H, TODAY()))</f>
        <v/>
      </c>
    </row>
    <row r="1391">
      <c r="E1391">
        <f>IF(ISBLANK(A1391), "", XLOOKUP(A1391, Inventory!A:A, Inventory!E:E, 0))</f>
        <v/>
      </c>
      <c r="F1391">
        <f>IF(ISBLANK(A1391), "", (B1391 * XLOOKUP(C1391, 'Fees &amp; Postage Table'!A:A, 'Fees &amp; Postage Table'!C:C, 0)) + XLOOKUP(C1391, 'Fees &amp; Postage Table'!A:A, 'Fees &amp; Postage Table'!B:B, 0))</f>
        <v/>
      </c>
      <c r="G1391">
        <f>IF(ISBLANK(A1391), "", XLOOKUP(C1391, 'Fees &amp; Postage Table'!A:A, 'Fees &amp; Postage Table'!D:D, 0))</f>
        <v/>
      </c>
      <c r="H1391">
        <f>IF(ISBLANK(A1391), "", B1391 - E1391 - F1391 - G1391)</f>
        <v/>
      </c>
      <c r="I1391">
        <f>IF(ISBLANK(A1391), "", D1391 - XLOOKUP(A1391, Inventory!A:A, Inventory!H:H, TODAY()))</f>
        <v/>
      </c>
    </row>
    <row r="1392">
      <c r="E1392">
        <f>IF(ISBLANK(A1392), "", XLOOKUP(A1392, Inventory!A:A, Inventory!E:E, 0))</f>
        <v/>
      </c>
      <c r="F1392">
        <f>IF(ISBLANK(A1392), "", (B1392 * XLOOKUP(C1392, 'Fees &amp; Postage Table'!A:A, 'Fees &amp; Postage Table'!C:C, 0)) + XLOOKUP(C1392, 'Fees &amp; Postage Table'!A:A, 'Fees &amp; Postage Table'!B:B, 0))</f>
        <v/>
      </c>
      <c r="G1392">
        <f>IF(ISBLANK(A1392), "", XLOOKUP(C1392, 'Fees &amp; Postage Table'!A:A, 'Fees &amp; Postage Table'!D:D, 0))</f>
        <v/>
      </c>
      <c r="H1392">
        <f>IF(ISBLANK(A1392), "", B1392 - E1392 - F1392 - G1392)</f>
        <v/>
      </c>
      <c r="I1392">
        <f>IF(ISBLANK(A1392), "", D1392 - XLOOKUP(A1392, Inventory!A:A, Inventory!H:H, TODAY()))</f>
        <v/>
      </c>
    </row>
    <row r="1393">
      <c r="E1393">
        <f>IF(ISBLANK(A1393), "", XLOOKUP(A1393, Inventory!A:A, Inventory!E:E, 0))</f>
        <v/>
      </c>
      <c r="F1393">
        <f>IF(ISBLANK(A1393), "", (B1393 * XLOOKUP(C1393, 'Fees &amp; Postage Table'!A:A, 'Fees &amp; Postage Table'!C:C, 0)) + XLOOKUP(C1393, 'Fees &amp; Postage Table'!A:A, 'Fees &amp; Postage Table'!B:B, 0))</f>
        <v/>
      </c>
      <c r="G1393">
        <f>IF(ISBLANK(A1393), "", XLOOKUP(C1393, 'Fees &amp; Postage Table'!A:A, 'Fees &amp; Postage Table'!D:D, 0))</f>
        <v/>
      </c>
      <c r="H1393">
        <f>IF(ISBLANK(A1393), "", B1393 - E1393 - F1393 - G1393)</f>
        <v/>
      </c>
      <c r="I1393">
        <f>IF(ISBLANK(A1393), "", D1393 - XLOOKUP(A1393, Inventory!A:A, Inventory!H:H, TODAY()))</f>
        <v/>
      </c>
    </row>
    <row r="1394">
      <c r="E1394">
        <f>IF(ISBLANK(A1394), "", XLOOKUP(A1394, Inventory!A:A, Inventory!E:E, 0))</f>
        <v/>
      </c>
      <c r="F1394">
        <f>IF(ISBLANK(A1394), "", (B1394 * XLOOKUP(C1394, 'Fees &amp; Postage Table'!A:A, 'Fees &amp; Postage Table'!C:C, 0)) + XLOOKUP(C1394, 'Fees &amp; Postage Table'!A:A, 'Fees &amp; Postage Table'!B:B, 0))</f>
        <v/>
      </c>
      <c r="G1394">
        <f>IF(ISBLANK(A1394), "", XLOOKUP(C1394, 'Fees &amp; Postage Table'!A:A, 'Fees &amp; Postage Table'!D:D, 0))</f>
        <v/>
      </c>
      <c r="H1394">
        <f>IF(ISBLANK(A1394), "", B1394 - E1394 - F1394 - G1394)</f>
        <v/>
      </c>
      <c r="I1394">
        <f>IF(ISBLANK(A1394), "", D1394 - XLOOKUP(A1394, Inventory!A:A, Inventory!H:H, TODAY()))</f>
        <v/>
      </c>
    </row>
    <row r="1395">
      <c r="E1395">
        <f>IF(ISBLANK(A1395), "", XLOOKUP(A1395, Inventory!A:A, Inventory!E:E, 0))</f>
        <v/>
      </c>
      <c r="F1395">
        <f>IF(ISBLANK(A1395), "", (B1395 * XLOOKUP(C1395, 'Fees &amp; Postage Table'!A:A, 'Fees &amp; Postage Table'!C:C, 0)) + XLOOKUP(C1395, 'Fees &amp; Postage Table'!A:A, 'Fees &amp; Postage Table'!B:B, 0))</f>
        <v/>
      </c>
      <c r="G1395">
        <f>IF(ISBLANK(A1395), "", XLOOKUP(C1395, 'Fees &amp; Postage Table'!A:A, 'Fees &amp; Postage Table'!D:D, 0))</f>
        <v/>
      </c>
      <c r="H1395">
        <f>IF(ISBLANK(A1395), "", B1395 - E1395 - F1395 - G1395)</f>
        <v/>
      </c>
      <c r="I1395">
        <f>IF(ISBLANK(A1395), "", D1395 - XLOOKUP(A1395, Inventory!A:A, Inventory!H:H, TODAY()))</f>
        <v/>
      </c>
    </row>
    <row r="1396">
      <c r="E1396">
        <f>IF(ISBLANK(A1396), "", XLOOKUP(A1396, Inventory!A:A, Inventory!E:E, 0))</f>
        <v/>
      </c>
      <c r="F1396">
        <f>IF(ISBLANK(A1396), "", (B1396 * XLOOKUP(C1396, 'Fees &amp; Postage Table'!A:A, 'Fees &amp; Postage Table'!C:C, 0)) + XLOOKUP(C1396, 'Fees &amp; Postage Table'!A:A, 'Fees &amp; Postage Table'!B:B, 0))</f>
        <v/>
      </c>
      <c r="G1396">
        <f>IF(ISBLANK(A1396), "", XLOOKUP(C1396, 'Fees &amp; Postage Table'!A:A, 'Fees &amp; Postage Table'!D:D, 0))</f>
        <v/>
      </c>
      <c r="H1396">
        <f>IF(ISBLANK(A1396), "", B1396 - E1396 - F1396 - G1396)</f>
        <v/>
      </c>
      <c r="I1396">
        <f>IF(ISBLANK(A1396), "", D1396 - XLOOKUP(A1396, Inventory!A:A, Inventory!H:H, TODAY()))</f>
        <v/>
      </c>
    </row>
    <row r="1397">
      <c r="E1397">
        <f>IF(ISBLANK(A1397), "", XLOOKUP(A1397, Inventory!A:A, Inventory!E:E, 0))</f>
        <v/>
      </c>
      <c r="F1397">
        <f>IF(ISBLANK(A1397), "", (B1397 * XLOOKUP(C1397, 'Fees &amp; Postage Table'!A:A, 'Fees &amp; Postage Table'!C:C, 0)) + XLOOKUP(C1397, 'Fees &amp; Postage Table'!A:A, 'Fees &amp; Postage Table'!B:B, 0))</f>
        <v/>
      </c>
      <c r="G1397">
        <f>IF(ISBLANK(A1397), "", XLOOKUP(C1397, 'Fees &amp; Postage Table'!A:A, 'Fees &amp; Postage Table'!D:D, 0))</f>
        <v/>
      </c>
      <c r="H1397">
        <f>IF(ISBLANK(A1397), "", B1397 - E1397 - F1397 - G1397)</f>
        <v/>
      </c>
      <c r="I1397">
        <f>IF(ISBLANK(A1397), "", D1397 - XLOOKUP(A1397, Inventory!A:A, Inventory!H:H, TODAY()))</f>
        <v/>
      </c>
    </row>
    <row r="1398">
      <c r="E1398">
        <f>IF(ISBLANK(A1398), "", XLOOKUP(A1398, Inventory!A:A, Inventory!E:E, 0))</f>
        <v/>
      </c>
      <c r="F1398">
        <f>IF(ISBLANK(A1398), "", (B1398 * XLOOKUP(C1398, 'Fees &amp; Postage Table'!A:A, 'Fees &amp; Postage Table'!C:C, 0)) + XLOOKUP(C1398, 'Fees &amp; Postage Table'!A:A, 'Fees &amp; Postage Table'!B:B, 0))</f>
        <v/>
      </c>
      <c r="G1398">
        <f>IF(ISBLANK(A1398), "", XLOOKUP(C1398, 'Fees &amp; Postage Table'!A:A, 'Fees &amp; Postage Table'!D:D, 0))</f>
        <v/>
      </c>
      <c r="H1398">
        <f>IF(ISBLANK(A1398), "", B1398 - E1398 - F1398 - G1398)</f>
        <v/>
      </c>
      <c r="I1398">
        <f>IF(ISBLANK(A1398), "", D1398 - XLOOKUP(A1398, Inventory!A:A, Inventory!H:H, TODAY()))</f>
        <v/>
      </c>
    </row>
    <row r="1399">
      <c r="E1399">
        <f>IF(ISBLANK(A1399), "", XLOOKUP(A1399, Inventory!A:A, Inventory!E:E, 0))</f>
        <v/>
      </c>
      <c r="F1399">
        <f>IF(ISBLANK(A1399), "", (B1399 * XLOOKUP(C1399, 'Fees &amp; Postage Table'!A:A, 'Fees &amp; Postage Table'!C:C, 0)) + XLOOKUP(C1399, 'Fees &amp; Postage Table'!A:A, 'Fees &amp; Postage Table'!B:B, 0))</f>
        <v/>
      </c>
      <c r="G1399">
        <f>IF(ISBLANK(A1399), "", XLOOKUP(C1399, 'Fees &amp; Postage Table'!A:A, 'Fees &amp; Postage Table'!D:D, 0))</f>
        <v/>
      </c>
      <c r="H1399">
        <f>IF(ISBLANK(A1399), "", B1399 - E1399 - F1399 - G1399)</f>
        <v/>
      </c>
      <c r="I1399">
        <f>IF(ISBLANK(A1399), "", D1399 - XLOOKUP(A1399, Inventory!A:A, Inventory!H:H, TODAY()))</f>
        <v/>
      </c>
    </row>
    <row r="1400">
      <c r="E1400">
        <f>IF(ISBLANK(A1400), "", XLOOKUP(A1400, Inventory!A:A, Inventory!E:E, 0))</f>
        <v/>
      </c>
      <c r="F1400">
        <f>IF(ISBLANK(A1400), "", (B1400 * XLOOKUP(C1400, 'Fees &amp; Postage Table'!A:A, 'Fees &amp; Postage Table'!C:C, 0)) + XLOOKUP(C1400, 'Fees &amp; Postage Table'!A:A, 'Fees &amp; Postage Table'!B:B, 0))</f>
        <v/>
      </c>
      <c r="G1400">
        <f>IF(ISBLANK(A1400), "", XLOOKUP(C1400, 'Fees &amp; Postage Table'!A:A, 'Fees &amp; Postage Table'!D:D, 0))</f>
        <v/>
      </c>
      <c r="H1400">
        <f>IF(ISBLANK(A1400), "", B1400 - E1400 - F1400 - G1400)</f>
        <v/>
      </c>
      <c r="I1400">
        <f>IF(ISBLANK(A1400), "", D1400 - XLOOKUP(A1400, Inventory!A:A, Inventory!H:H, TODAY()))</f>
        <v/>
      </c>
    </row>
    <row r="1401">
      <c r="E1401">
        <f>IF(ISBLANK(A1401), "", XLOOKUP(A1401, Inventory!A:A, Inventory!E:E, 0))</f>
        <v/>
      </c>
      <c r="F1401">
        <f>IF(ISBLANK(A1401), "", (B1401 * XLOOKUP(C1401, 'Fees &amp; Postage Table'!A:A, 'Fees &amp; Postage Table'!C:C, 0)) + XLOOKUP(C1401, 'Fees &amp; Postage Table'!A:A, 'Fees &amp; Postage Table'!B:B, 0))</f>
        <v/>
      </c>
      <c r="G1401">
        <f>IF(ISBLANK(A1401), "", XLOOKUP(C1401, 'Fees &amp; Postage Table'!A:A, 'Fees &amp; Postage Table'!D:D, 0))</f>
        <v/>
      </c>
      <c r="H1401">
        <f>IF(ISBLANK(A1401), "", B1401 - E1401 - F1401 - G1401)</f>
        <v/>
      </c>
      <c r="I1401">
        <f>IF(ISBLANK(A1401), "", D1401 - XLOOKUP(A1401, Inventory!A:A, Inventory!H:H, TODAY()))</f>
        <v/>
      </c>
    </row>
    <row r="1402">
      <c r="E1402">
        <f>IF(ISBLANK(A1402), "", XLOOKUP(A1402, Inventory!A:A, Inventory!E:E, 0))</f>
        <v/>
      </c>
      <c r="F1402">
        <f>IF(ISBLANK(A1402), "", (B1402 * XLOOKUP(C1402, 'Fees &amp; Postage Table'!A:A, 'Fees &amp; Postage Table'!C:C, 0)) + XLOOKUP(C1402, 'Fees &amp; Postage Table'!A:A, 'Fees &amp; Postage Table'!B:B, 0))</f>
        <v/>
      </c>
      <c r="G1402">
        <f>IF(ISBLANK(A1402), "", XLOOKUP(C1402, 'Fees &amp; Postage Table'!A:A, 'Fees &amp; Postage Table'!D:D, 0))</f>
        <v/>
      </c>
      <c r="H1402">
        <f>IF(ISBLANK(A1402), "", B1402 - E1402 - F1402 - G1402)</f>
        <v/>
      </c>
      <c r="I1402">
        <f>IF(ISBLANK(A1402), "", D1402 - XLOOKUP(A1402, Inventory!A:A, Inventory!H:H, TODAY()))</f>
        <v/>
      </c>
    </row>
    <row r="1403">
      <c r="E1403">
        <f>IF(ISBLANK(A1403), "", XLOOKUP(A1403, Inventory!A:A, Inventory!E:E, 0))</f>
        <v/>
      </c>
      <c r="F1403">
        <f>IF(ISBLANK(A1403), "", (B1403 * XLOOKUP(C1403, 'Fees &amp; Postage Table'!A:A, 'Fees &amp; Postage Table'!C:C, 0)) + XLOOKUP(C1403, 'Fees &amp; Postage Table'!A:A, 'Fees &amp; Postage Table'!B:B, 0))</f>
        <v/>
      </c>
      <c r="G1403">
        <f>IF(ISBLANK(A1403), "", XLOOKUP(C1403, 'Fees &amp; Postage Table'!A:A, 'Fees &amp; Postage Table'!D:D, 0))</f>
        <v/>
      </c>
      <c r="H1403">
        <f>IF(ISBLANK(A1403), "", B1403 - E1403 - F1403 - G1403)</f>
        <v/>
      </c>
      <c r="I1403">
        <f>IF(ISBLANK(A1403), "", D1403 - XLOOKUP(A1403, Inventory!A:A, Inventory!H:H, TODAY()))</f>
        <v/>
      </c>
    </row>
    <row r="1404">
      <c r="E1404">
        <f>IF(ISBLANK(A1404), "", XLOOKUP(A1404, Inventory!A:A, Inventory!E:E, 0))</f>
        <v/>
      </c>
      <c r="F1404">
        <f>IF(ISBLANK(A1404), "", (B1404 * XLOOKUP(C1404, 'Fees &amp; Postage Table'!A:A, 'Fees &amp; Postage Table'!C:C, 0)) + XLOOKUP(C1404, 'Fees &amp; Postage Table'!A:A, 'Fees &amp; Postage Table'!B:B, 0))</f>
        <v/>
      </c>
      <c r="G1404">
        <f>IF(ISBLANK(A1404), "", XLOOKUP(C1404, 'Fees &amp; Postage Table'!A:A, 'Fees &amp; Postage Table'!D:D, 0))</f>
        <v/>
      </c>
      <c r="H1404">
        <f>IF(ISBLANK(A1404), "", B1404 - E1404 - F1404 - G1404)</f>
        <v/>
      </c>
      <c r="I1404">
        <f>IF(ISBLANK(A1404), "", D1404 - XLOOKUP(A1404, Inventory!A:A, Inventory!H:H, TODAY()))</f>
        <v/>
      </c>
    </row>
    <row r="1405">
      <c r="E1405">
        <f>IF(ISBLANK(A1405), "", XLOOKUP(A1405, Inventory!A:A, Inventory!E:E, 0))</f>
        <v/>
      </c>
      <c r="F1405">
        <f>IF(ISBLANK(A1405), "", (B1405 * XLOOKUP(C1405, 'Fees &amp; Postage Table'!A:A, 'Fees &amp; Postage Table'!C:C, 0)) + XLOOKUP(C1405, 'Fees &amp; Postage Table'!A:A, 'Fees &amp; Postage Table'!B:B, 0))</f>
        <v/>
      </c>
      <c r="G1405">
        <f>IF(ISBLANK(A1405), "", XLOOKUP(C1405, 'Fees &amp; Postage Table'!A:A, 'Fees &amp; Postage Table'!D:D, 0))</f>
        <v/>
      </c>
      <c r="H1405">
        <f>IF(ISBLANK(A1405), "", B1405 - E1405 - F1405 - G1405)</f>
        <v/>
      </c>
      <c r="I1405">
        <f>IF(ISBLANK(A1405), "", D1405 - XLOOKUP(A1405, Inventory!A:A, Inventory!H:H, TODAY()))</f>
        <v/>
      </c>
    </row>
    <row r="1406">
      <c r="E1406">
        <f>IF(ISBLANK(A1406), "", XLOOKUP(A1406, Inventory!A:A, Inventory!E:E, 0))</f>
        <v/>
      </c>
      <c r="F1406">
        <f>IF(ISBLANK(A1406), "", (B1406 * XLOOKUP(C1406, 'Fees &amp; Postage Table'!A:A, 'Fees &amp; Postage Table'!C:C, 0)) + XLOOKUP(C1406, 'Fees &amp; Postage Table'!A:A, 'Fees &amp; Postage Table'!B:B, 0))</f>
        <v/>
      </c>
      <c r="G1406">
        <f>IF(ISBLANK(A1406), "", XLOOKUP(C1406, 'Fees &amp; Postage Table'!A:A, 'Fees &amp; Postage Table'!D:D, 0))</f>
        <v/>
      </c>
      <c r="H1406">
        <f>IF(ISBLANK(A1406), "", B1406 - E1406 - F1406 - G1406)</f>
        <v/>
      </c>
      <c r="I1406">
        <f>IF(ISBLANK(A1406), "", D1406 - XLOOKUP(A1406, Inventory!A:A, Inventory!H:H, TODAY()))</f>
        <v/>
      </c>
    </row>
    <row r="1407">
      <c r="E1407">
        <f>IF(ISBLANK(A1407), "", XLOOKUP(A1407, Inventory!A:A, Inventory!E:E, 0))</f>
        <v/>
      </c>
      <c r="F1407">
        <f>IF(ISBLANK(A1407), "", (B1407 * XLOOKUP(C1407, 'Fees &amp; Postage Table'!A:A, 'Fees &amp; Postage Table'!C:C, 0)) + XLOOKUP(C1407, 'Fees &amp; Postage Table'!A:A, 'Fees &amp; Postage Table'!B:B, 0))</f>
        <v/>
      </c>
      <c r="G1407">
        <f>IF(ISBLANK(A1407), "", XLOOKUP(C1407, 'Fees &amp; Postage Table'!A:A, 'Fees &amp; Postage Table'!D:D, 0))</f>
        <v/>
      </c>
      <c r="H1407">
        <f>IF(ISBLANK(A1407), "", B1407 - E1407 - F1407 - G1407)</f>
        <v/>
      </c>
      <c r="I1407">
        <f>IF(ISBLANK(A1407), "", D1407 - XLOOKUP(A1407, Inventory!A:A, Inventory!H:H, TODAY()))</f>
        <v/>
      </c>
    </row>
    <row r="1408">
      <c r="E1408">
        <f>IF(ISBLANK(A1408), "", XLOOKUP(A1408, Inventory!A:A, Inventory!E:E, 0))</f>
        <v/>
      </c>
      <c r="F1408">
        <f>IF(ISBLANK(A1408), "", (B1408 * XLOOKUP(C1408, 'Fees &amp; Postage Table'!A:A, 'Fees &amp; Postage Table'!C:C, 0)) + XLOOKUP(C1408, 'Fees &amp; Postage Table'!A:A, 'Fees &amp; Postage Table'!B:B, 0))</f>
        <v/>
      </c>
      <c r="G1408">
        <f>IF(ISBLANK(A1408), "", XLOOKUP(C1408, 'Fees &amp; Postage Table'!A:A, 'Fees &amp; Postage Table'!D:D, 0))</f>
        <v/>
      </c>
      <c r="H1408">
        <f>IF(ISBLANK(A1408), "", B1408 - E1408 - F1408 - G1408)</f>
        <v/>
      </c>
      <c r="I1408">
        <f>IF(ISBLANK(A1408), "", D1408 - XLOOKUP(A1408, Inventory!A:A, Inventory!H:H, TODAY()))</f>
        <v/>
      </c>
    </row>
    <row r="1409">
      <c r="E1409">
        <f>IF(ISBLANK(A1409), "", XLOOKUP(A1409, Inventory!A:A, Inventory!E:E, 0))</f>
        <v/>
      </c>
      <c r="F1409">
        <f>IF(ISBLANK(A1409), "", (B1409 * XLOOKUP(C1409, 'Fees &amp; Postage Table'!A:A, 'Fees &amp; Postage Table'!C:C, 0)) + XLOOKUP(C1409, 'Fees &amp; Postage Table'!A:A, 'Fees &amp; Postage Table'!B:B, 0))</f>
        <v/>
      </c>
      <c r="G1409">
        <f>IF(ISBLANK(A1409), "", XLOOKUP(C1409, 'Fees &amp; Postage Table'!A:A, 'Fees &amp; Postage Table'!D:D, 0))</f>
        <v/>
      </c>
      <c r="H1409">
        <f>IF(ISBLANK(A1409), "", B1409 - E1409 - F1409 - G1409)</f>
        <v/>
      </c>
      <c r="I1409">
        <f>IF(ISBLANK(A1409), "", D1409 - XLOOKUP(A1409, Inventory!A:A, Inventory!H:H, TODAY()))</f>
        <v/>
      </c>
    </row>
    <row r="1410">
      <c r="E1410">
        <f>IF(ISBLANK(A1410), "", XLOOKUP(A1410, Inventory!A:A, Inventory!E:E, 0))</f>
        <v/>
      </c>
      <c r="F1410">
        <f>IF(ISBLANK(A1410), "", (B1410 * XLOOKUP(C1410, 'Fees &amp; Postage Table'!A:A, 'Fees &amp; Postage Table'!C:C, 0)) + XLOOKUP(C1410, 'Fees &amp; Postage Table'!A:A, 'Fees &amp; Postage Table'!B:B, 0))</f>
        <v/>
      </c>
      <c r="G1410">
        <f>IF(ISBLANK(A1410), "", XLOOKUP(C1410, 'Fees &amp; Postage Table'!A:A, 'Fees &amp; Postage Table'!D:D, 0))</f>
        <v/>
      </c>
      <c r="H1410">
        <f>IF(ISBLANK(A1410), "", B1410 - E1410 - F1410 - G1410)</f>
        <v/>
      </c>
      <c r="I1410">
        <f>IF(ISBLANK(A1410), "", D1410 - XLOOKUP(A1410, Inventory!A:A, Inventory!H:H, TODAY()))</f>
        <v/>
      </c>
    </row>
    <row r="1411">
      <c r="E1411">
        <f>IF(ISBLANK(A1411), "", XLOOKUP(A1411, Inventory!A:A, Inventory!E:E, 0))</f>
        <v/>
      </c>
      <c r="F1411">
        <f>IF(ISBLANK(A1411), "", (B1411 * XLOOKUP(C1411, 'Fees &amp; Postage Table'!A:A, 'Fees &amp; Postage Table'!C:C, 0)) + XLOOKUP(C1411, 'Fees &amp; Postage Table'!A:A, 'Fees &amp; Postage Table'!B:B, 0))</f>
        <v/>
      </c>
      <c r="G1411">
        <f>IF(ISBLANK(A1411), "", XLOOKUP(C1411, 'Fees &amp; Postage Table'!A:A, 'Fees &amp; Postage Table'!D:D, 0))</f>
        <v/>
      </c>
      <c r="H1411">
        <f>IF(ISBLANK(A1411), "", B1411 - E1411 - F1411 - G1411)</f>
        <v/>
      </c>
      <c r="I1411">
        <f>IF(ISBLANK(A1411), "", D1411 - XLOOKUP(A1411, Inventory!A:A, Inventory!H:H, TODAY()))</f>
        <v/>
      </c>
    </row>
    <row r="1412">
      <c r="E1412">
        <f>IF(ISBLANK(A1412), "", XLOOKUP(A1412, Inventory!A:A, Inventory!E:E, 0))</f>
        <v/>
      </c>
      <c r="F1412">
        <f>IF(ISBLANK(A1412), "", (B1412 * XLOOKUP(C1412, 'Fees &amp; Postage Table'!A:A, 'Fees &amp; Postage Table'!C:C, 0)) + XLOOKUP(C1412, 'Fees &amp; Postage Table'!A:A, 'Fees &amp; Postage Table'!B:B, 0))</f>
        <v/>
      </c>
      <c r="G1412">
        <f>IF(ISBLANK(A1412), "", XLOOKUP(C1412, 'Fees &amp; Postage Table'!A:A, 'Fees &amp; Postage Table'!D:D, 0))</f>
        <v/>
      </c>
      <c r="H1412">
        <f>IF(ISBLANK(A1412), "", B1412 - E1412 - F1412 - G1412)</f>
        <v/>
      </c>
      <c r="I1412">
        <f>IF(ISBLANK(A1412), "", D1412 - XLOOKUP(A1412, Inventory!A:A, Inventory!H:H, TODAY()))</f>
        <v/>
      </c>
    </row>
    <row r="1413">
      <c r="E1413">
        <f>IF(ISBLANK(A1413), "", XLOOKUP(A1413, Inventory!A:A, Inventory!E:E, 0))</f>
        <v/>
      </c>
      <c r="F1413">
        <f>IF(ISBLANK(A1413), "", (B1413 * XLOOKUP(C1413, 'Fees &amp; Postage Table'!A:A, 'Fees &amp; Postage Table'!C:C, 0)) + XLOOKUP(C1413, 'Fees &amp; Postage Table'!A:A, 'Fees &amp; Postage Table'!B:B, 0))</f>
        <v/>
      </c>
      <c r="G1413">
        <f>IF(ISBLANK(A1413), "", XLOOKUP(C1413, 'Fees &amp; Postage Table'!A:A, 'Fees &amp; Postage Table'!D:D, 0))</f>
        <v/>
      </c>
      <c r="H1413">
        <f>IF(ISBLANK(A1413), "", B1413 - E1413 - F1413 - G1413)</f>
        <v/>
      </c>
      <c r="I1413">
        <f>IF(ISBLANK(A1413), "", D1413 - XLOOKUP(A1413, Inventory!A:A, Inventory!H:H, TODAY()))</f>
        <v/>
      </c>
    </row>
    <row r="1414">
      <c r="E1414">
        <f>IF(ISBLANK(A1414), "", XLOOKUP(A1414, Inventory!A:A, Inventory!E:E, 0))</f>
        <v/>
      </c>
      <c r="F1414">
        <f>IF(ISBLANK(A1414), "", (B1414 * XLOOKUP(C1414, 'Fees &amp; Postage Table'!A:A, 'Fees &amp; Postage Table'!C:C, 0)) + XLOOKUP(C1414, 'Fees &amp; Postage Table'!A:A, 'Fees &amp; Postage Table'!B:B, 0))</f>
        <v/>
      </c>
      <c r="G1414">
        <f>IF(ISBLANK(A1414), "", XLOOKUP(C1414, 'Fees &amp; Postage Table'!A:A, 'Fees &amp; Postage Table'!D:D, 0))</f>
        <v/>
      </c>
      <c r="H1414">
        <f>IF(ISBLANK(A1414), "", B1414 - E1414 - F1414 - G1414)</f>
        <v/>
      </c>
      <c r="I1414">
        <f>IF(ISBLANK(A1414), "", D1414 - XLOOKUP(A1414, Inventory!A:A, Inventory!H:H, TODAY()))</f>
        <v/>
      </c>
    </row>
    <row r="1415">
      <c r="E1415">
        <f>IF(ISBLANK(A1415), "", XLOOKUP(A1415, Inventory!A:A, Inventory!E:E, 0))</f>
        <v/>
      </c>
      <c r="F1415">
        <f>IF(ISBLANK(A1415), "", (B1415 * XLOOKUP(C1415, 'Fees &amp; Postage Table'!A:A, 'Fees &amp; Postage Table'!C:C, 0)) + XLOOKUP(C1415, 'Fees &amp; Postage Table'!A:A, 'Fees &amp; Postage Table'!B:B, 0))</f>
        <v/>
      </c>
      <c r="G1415">
        <f>IF(ISBLANK(A1415), "", XLOOKUP(C1415, 'Fees &amp; Postage Table'!A:A, 'Fees &amp; Postage Table'!D:D, 0))</f>
        <v/>
      </c>
      <c r="H1415">
        <f>IF(ISBLANK(A1415), "", B1415 - E1415 - F1415 - G1415)</f>
        <v/>
      </c>
      <c r="I1415">
        <f>IF(ISBLANK(A1415), "", D1415 - XLOOKUP(A1415, Inventory!A:A, Inventory!H:H, TODAY()))</f>
        <v/>
      </c>
    </row>
    <row r="1416">
      <c r="E1416">
        <f>IF(ISBLANK(A1416), "", XLOOKUP(A1416, Inventory!A:A, Inventory!E:E, 0))</f>
        <v/>
      </c>
      <c r="F1416">
        <f>IF(ISBLANK(A1416), "", (B1416 * XLOOKUP(C1416, 'Fees &amp; Postage Table'!A:A, 'Fees &amp; Postage Table'!C:C, 0)) + XLOOKUP(C1416, 'Fees &amp; Postage Table'!A:A, 'Fees &amp; Postage Table'!B:B, 0))</f>
        <v/>
      </c>
      <c r="G1416">
        <f>IF(ISBLANK(A1416), "", XLOOKUP(C1416, 'Fees &amp; Postage Table'!A:A, 'Fees &amp; Postage Table'!D:D, 0))</f>
        <v/>
      </c>
      <c r="H1416">
        <f>IF(ISBLANK(A1416), "", B1416 - E1416 - F1416 - G1416)</f>
        <v/>
      </c>
      <c r="I1416">
        <f>IF(ISBLANK(A1416), "", D1416 - XLOOKUP(A1416, Inventory!A:A, Inventory!H:H, TODAY()))</f>
        <v/>
      </c>
    </row>
    <row r="1417">
      <c r="E1417">
        <f>IF(ISBLANK(A1417), "", XLOOKUP(A1417, Inventory!A:A, Inventory!E:E, 0))</f>
        <v/>
      </c>
      <c r="F1417">
        <f>IF(ISBLANK(A1417), "", (B1417 * XLOOKUP(C1417, 'Fees &amp; Postage Table'!A:A, 'Fees &amp; Postage Table'!C:C, 0)) + XLOOKUP(C1417, 'Fees &amp; Postage Table'!A:A, 'Fees &amp; Postage Table'!B:B, 0))</f>
        <v/>
      </c>
      <c r="G1417">
        <f>IF(ISBLANK(A1417), "", XLOOKUP(C1417, 'Fees &amp; Postage Table'!A:A, 'Fees &amp; Postage Table'!D:D, 0))</f>
        <v/>
      </c>
      <c r="H1417">
        <f>IF(ISBLANK(A1417), "", B1417 - E1417 - F1417 - G1417)</f>
        <v/>
      </c>
      <c r="I1417">
        <f>IF(ISBLANK(A1417), "", D1417 - XLOOKUP(A1417, Inventory!A:A, Inventory!H:H, TODAY()))</f>
        <v/>
      </c>
    </row>
    <row r="1418">
      <c r="E1418">
        <f>IF(ISBLANK(A1418), "", XLOOKUP(A1418, Inventory!A:A, Inventory!E:E, 0))</f>
        <v/>
      </c>
      <c r="F1418">
        <f>IF(ISBLANK(A1418), "", (B1418 * XLOOKUP(C1418, 'Fees &amp; Postage Table'!A:A, 'Fees &amp; Postage Table'!C:C, 0)) + XLOOKUP(C1418, 'Fees &amp; Postage Table'!A:A, 'Fees &amp; Postage Table'!B:B, 0))</f>
        <v/>
      </c>
      <c r="G1418">
        <f>IF(ISBLANK(A1418), "", XLOOKUP(C1418, 'Fees &amp; Postage Table'!A:A, 'Fees &amp; Postage Table'!D:D, 0))</f>
        <v/>
      </c>
      <c r="H1418">
        <f>IF(ISBLANK(A1418), "", B1418 - E1418 - F1418 - G1418)</f>
        <v/>
      </c>
      <c r="I1418">
        <f>IF(ISBLANK(A1418), "", D1418 - XLOOKUP(A1418, Inventory!A:A, Inventory!H:H, TODAY()))</f>
        <v/>
      </c>
    </row>
    <row r="1419">
      <c r="E1419">
        <f>IF(ISBLANK(A1419), "", XLOOKUP(A1419, Inventory!A:A, Inventory!E:E, 0))</f>
        <v/>
      </c>
      <c r="F1419">
        <f>IF(ISBLANK(A1419), "", (B1419 * XLOOKUP(C1419, 'Fees &amp; Postage Table'!A:A, 'Fees &amp; Postage Table'!C:C, 0)) + XLOOKUP(C1419, 'Fees &amp; Postage Table'!A:A, 'Fees &amp; Postage Table'!B:B, 0))</f>
        <v/>
      </c>
      <c r="G1419">
        <f>IF(ISBLANK(A1419), "", XLOOKUP(C1419, 'Fees &amp; Postage Table'!A:A, 'Fees &amp; Postage Table'!D:D, 0))</f>
        <v/>
      </c>
      <c r="H1419">
        <f>IF(ISBLANK(A1419), "", B1419 - E1419 - F1419 - G1419)</f>
        <v/>
      </c>
      <c r="I1419">
        <f>IF(ISBLANK(A1419), "", D1419 - XLOOKUP(A1419, Inventory!A:A, Inventory!H:H, TODAY()))</f>
        <v/>
      </c>
    </row>
    <row r="1420">
      <c r="E1420">
        <f>IF(ISBLANK(A1420), "", XLOOKUP(A1420, Inventory!A:A, Inventory!E:E, 0))</f>
        <v/>
      </c>
      <c r="F1420">
        <f>IF(ISBLANK(A1420), "", (B1420 * XLOOKUP(C1420, 'Fees &amp; Postage Table'!A:A, 'Fees &amp; Postage Table'!C:C, 0)) + XLOOKUP(C1420, 'Fees &amp; Postage Table'!A:A, 'Fees &amp; Postage Table'!B:B, 0))</f>
        <v/>
      </c>
      <c r="G1420">
        <f>IF(ISBLANK(A1420), "", XLOOKUP(C1420, 'Fees &amp; Postage Table'!A:A, 'Fees &amp; Postage Table'!D:D, 0))</f>
        <v/>
      </c>
      <c r="H1420">
        <f>IF(ISBLANK(A1420), "", B1420 - E1420 - F1420 - G1420)</f>
        <v/>
      </c>
      <c r="I1420">
        <f>IF(ISBLANK(A1420), "", D1420 - XLOOKUP(A1420, Inventory!A:A, Inventory!H:H, TODAY()))</f>
        <v/>
      </c>
    </row>
    <row r="1421">
      <c r="E1421">
        <f>IF(ISBLANK(A1421), "", XLOOKUP(A1421, Inventory!A:A, Inventory!E:E, 0))</f>
        <v/>
      </c>
      <c r="F1421">
        <f>IF(ISBLANK(A1421), "", (B1421 * XLOOKUP(C1421, 'Fees &amp; Postage Table'!A:A, 'Fees &amp; Postage Table'!C:C, 0)) + XLOOKUP(C1421, 'Fees &amp; Postage Table'!A:A, 'Fees &amp; Postage Table'!B:B, 0))</f>
        <v/>
      </c>
      <c r="G1421">
        <f>IF(ISBLANK(A1421), "", XLOOKUP(C1421, 'Fees &amp; Postage Table'!A:A, 'Fees &amp; Postage Table'!D:D, 0))</f>
        <v/>
      </c>
      <c r="H1421">
        <f>IF(ISBLANK(A1421), "", B1421 - E1421 - F1421 - G1421)</f>
        <v/>
      </c>
      <c r="I1421">
        <f>IF(ISBLANK(A1421), "", D1421 - XLOOKUP(A1421, Inventory!A:A, Inventory!H:H, TODAY()))</f>
        <v/>
      </c>
    </row>
    <row r="1422">
      <c r="E1422">
        <f>IF(ISBLANK(A1422), "", XLOOKUP(A1422, Inventory!A:A, Inventory!E:E, 0))</f>
        <v/>
      </c>
      <c r="F1422">
        <f>IF(ISBLANK(A1422), "", (B1422 * XLOOKUP(C1422, 'Fees &amp; Postage Table'!A:A, 'Fees &amp; Postage Table'!C:C, 0)) + XLOOKUP(C1422, 'Fees &amp; Postage Table'!A:A, 'Fees &amp; Postage Table'!B:B, 0))</f>
        <v/>
      </c>
      <c r="G1422">
        <f>IF(ISBLANK(A1422), "", XLOOKUP(C1422, 'Fees &amp; Postage Table'!A:A, 'Fees &amp; Postage Table'!D:D, 0))</f>
        <v/>
      </c>
      <c r="H1422">
        <f>IF(ISBLANK(A1422), "", B1422 - E1422 - F1422 - G1422)</f>
        <v/>
      </c>
      <c r="I1422">
        <f>IF(ISBLANK(A1422), "", D1422 - XLOOKUP(A1422, Inventory!A:A, Inventory!H:H, TODAY()))</f>
        <v/>
      </c>
    </row>
    <row r="1423">
      <c r="E1423">
        <f>IF(ISBLANK(A1423), "", XLOOKUP(A1423, Inventory!A:A, Inventory!E:E, 0))</f>
        <v/>
      </c>
      <c r="F1423">
        <f>IF(ISBLANK(A1423), "", (B1423 * XLOOKUP(C1423, 'Fees &amp; Postage Table'!A:A, 'Fees &amp; Postage Table'!C:C, 0)) + XLOOKUP(C1423, 'Fees &amp; Postage Table'!A:A, 'Fees &amp; Postage Table'!B:B, 0))</f>
        <v/>
      </c>
      <c r="G1423">
        <f>IF(ISBLANK(A1423), "", XLOOKUP(C1423, 'Fees &amp; Postage Table'!A:A, 'Fees &amp; Postage Table'!D:D, 0))</f>
        <v/>
      </c>
      <c r="H1423">
        <f>IF(ISBLANK(A1423), "", B1423 - E1423 - F1423 - G1423)</f>
        <v/>
      </c>
      <c r="I1423">
        <f>IF(ISBLANK(A1423), "", D1423 - XLOOKUP(A1423, Inventory!A:A, Inventory!H:H, TODAY()))</f>
        <v/>
      </c>
    </row>
    <row r="1424">
      <c r="E1424">
        <f>IF(ISBLANK(A1424), "", XLOOKUP(A1424, Inventory!A:A, Inventory!E:E, 0))</f>
        <v/>
      </c>
      <c r="F1424">
        <f>IF(ISBLANK(A1424), "", (B1424 * XLOOKUP(C1424, 'Fees &amp; Postage Table'!A:A, 'Fees &amp; Postage Table'!C:C, 0)) + XLOOKUP(C1424, 'Fees &amp; Postage Table'!A:A, 'Fees &amp; Postage Table'!B:B, 0))</f>
        <v/>
      </c>
      <c r="G1424">
        <f>IF(ISBLANK(A1424), "", XLOOKUP(C1424, 'Fees &amp; Postage Table'!A:A, 'Fees &amp; Postage Table'!D:D, 0))</f>
        <v/>
      </c>
      <c r="H1424">
        <f>IF(ISBLANK(A1424), "", B1424 - E1424 - F1424 - G1424)</f>
        <v/>
      </c>
      <c r="I1424">
        <f>IF(ISBLANK(A1424), "", D1424 - XLOOKUP(A1424, Inventory!A:A, Inventory!H:H, TODAY()))</f>
        <v/>
      </c>
    </row>
    <row r="1425">
      <c r="E1425">
        <f>IF(ISBLANK(A1425), "", XLOOKUP(A1425, Inventory!A:A, Inventory!E:E, 0))</f>
        <v/>
      </c>
      <c r="F1425">
        <f>IF(ISBLANK(A1425), "", (B1425 * XLOOKUP(C1425, 'Fees &amp; Postage Table'!A:A, 'Fees &amp; Postage Table'!C:C, 0)) + XLOOKUP(C1425, 'Fees &amp; Postage Table'!A:A, 'Fees &amp; Postage Table'!B:B, 0))</f>
        <v/>
      </c>
      <c r="G1425">
        <f>IF(ISBLANK(A1425), "", XLOOKUP(C1425, 'Fees &amp; Postage Table'!A:A, 'Fees &amp; Postage Table'!D:D, 0))</f>
        <v/>
      </c>
      <c r="H1425">
        <f>IF(ISBLANK(A1425), "", B1425 - E1425 - F1425 - G1425)</f>
        <v/>
      </c>
      <c r="I1425">
        <f>IF(ISBLANK(A1425), "", D1425 - XLOOKUP(A1425, Inventory!A:A, Inventory!H:H, TODAY()))</f>
        <v/>
      </c>
    </row>
    <row r="1426">
      <c r="E1426">
        <f>IF(ISBLANK(A1426), "", XLOOKUP(A1426, Inventory!A:A, Inventory!E:E, 0))</f>
        <v/>
      </c>
      <c r="F1426">
        <f>IF(ISBLANK(A1426), "", (B1426 * XLOOKUP(C1426, 'Fees &amp; Postage Table'!A:A, 'Fees &amp; Postage Table'!C:C, 0)) + XLOOKUP(C1426, 'Fees &amp; Postage Table'!A:A, 'Fees &amp; Postage Table'!B:B, 0))</f>
        <v/>
      </c>
      <c r="G1426">
        <f>IF(ISBLANK(A1426), "", XLOOKUP(C1426, 'Fees &amp; Postage Table'!A:A, 'Fees &amp; Postage Table'!D:D, 0))</f>
        <v/>
      </c>
      <c r="H1426">
        <f>IF(ISBLANK(A1426), "", B1426 - E1426 - F1426 - G1426)</f>
        <v/>
      </c>
      <c r="I1426">
        <f>IF(ISBLANK(A1426), "", D1426 - XLOOKUP(A1426, Inventory!A:A, Inventory!H:H, TODAY()))</f>
        <v/>
      </c>
    </row>
    <row r="1427">
      <c r="E1427">
        <f>IF(ISBLANK(A1427), "", XLOOKUP(A1427, Inventory!A:A, Inventory!E:E, 0))</f>
        <v/>
      </c>
      <c r="F1427">
        <f>IF(ISBLANK(A1427), "", (B1427 * XLOOKUP(C1427, 'Fees &amp; Postage Table'!A:A, 'Fees &amp; Postage Table'!C:C, 0)) + XLOOKUP(C1427, 'Fees &amp; Postage Table'!A:A, 'Fees &amp; Postage Table'!B:B, 0))</f>
        <v/>
      </c>
      <c r="G1427">
        <f>IF(ISBLANK(A1427), "", XLOOKUP(C1427, 'Fees &amp; Postage Table'!A:A, 'Fees &amp; Postage Table'!D:D, 0))</f>
        <v/>
      </c>
      <c r="H1427">
        <f>IF(ISBLANK(A1427), "", B1427 - E1427 - F1427 - G1427)</f>
        <v/>
      </c>
      <c r="I1427">
        <f>IF(ISBLANK(A1427), "", D1427 - XLOOKUP(A1427, Inventory!A:A, Inventory!H:H, TODAY()))</f>
        <v/>
      </c>
    </row>
    <row r="1428">
      <c r="E1428">
        <f>IF(ISBLANK(A1428), "", XLOOKUP(A1428, Inventory!A:A, Inventory!E:E, 0))</f>
        <v/>
      </c>
      <c r="F1428">
        <f>IF(ISBLANK(A1428), "", (B1428 * XLOOKUP(C1428, 'Fees &amp; Postage Table'!A:A, 'Fees &amp; Postage Table'!C:C, 0)) + XLOOKUP(C1428, 'Fees &amp; Postage Table'!A:A, 'Fees &amp; Postage Table'!B:B, 0))</f>
        <v/>
      </c>
      <c r="G1428">
        <f>IF(ISBLANK(A1428), "", XLOOKUP(C1428, 'Fees &amp; Postage Table'!A:A, 'Fees &amp; Postage Table'!D:D, 0))</f>
        <v/>
      </c>
      <c r="H1428">
        <f>IF(ISBLANK(A1428), "", B1428 - E1428 - F1428 - G1428)</f>
        <v/>
      </c>
      <c r="I1428">
        <f>IF(ISBLANK(A1428), "", D1428 - XLOOKUP(A1428, Inventory!A:A, Inventory!H:H, TODAY()))</f>
        <v/>
      </c>
    </row>
    <row r="1429">
      <c r="E1429">
        <f>IF(ISBLANK(A1429), "", XLOOKUP(A1429, Inventory!A:A, Inventory!E:E, 0))</f>
        <v/>
      </c>
      <c r="F1429">
        <f>IF(ISBLANK(A1429), "", (B1429 * XLOOKUP(C1429, 'Fees &amp; Postage Table'!A:A, 'Fees &amp; Postage Table'!C:C, 0)) + XLOOKUP(C1429, 'Fees &amp; Postage Table'!A:A, 'Fees &amp; Postage Table'!B:B, 0))</f>
        <v/>
      </c>
      <c r="G1429">
        <f>IF(ISBLANK(A1429), "", XLOOKUP(C1429, 'Fees &amp; Postage Table'!A:A, 'Fees &amp; Postage Table'!D:D, 0))</f>
        <v/>
      </c>
      <c r="H1429">
        <f>IF(ISBLANK(A1429), "", B1429 - E1429 - F1429 - G1429)</f>
        <v/>
      </c>
      <c r="I1429">
        <f>IF(ISBLANK(A1429), "", D1429 - XLOOKUP(A1429, Inventory!A:A, Inventory!H:H, TODAY()))</f>
        <v/>
      </c>
    </row>
    <row r="1430">
      <c r="E1430">
        <f>IF(ISBLANK(A1430), "", XLOOKUP(A1430, Inventory!A:A, Inventory!E:E, 0))</f>
        <v/>
      </c>
      <c r="F1430">
        <f>IF(ISBLANK(A1430), "", (B1430 * XLOOKUP(C1430, 'Fees &amp; Postage Table'!A:A, 'Fees &amp; Postage Table'!C:C, 0)) + XLOOKUP(C1430, 'Fees &amp; Postage Table'!A:A, 'Fees &amp; Postage Table'!B:B, 0))</f>
        <v/>
      </c>
      <c r="G1430">
        <f>IF(ISBLANK(A1430), "", XLOOKUP(C1430, 'Fees &amp; Postage Table'!A:A, 'Fees &amp; Postage Table'!D:D, 0))</f>
        <v/>
      </c>
      <c r="H1430">
        <f>IF(ISBLANK(A1430), "", B1430 - E1430 - F1430 - G1430)</f>
        <v/>
      </c>
      <c r="I1430">
        <f>IF(ISBLANK(A1430), "", D1430 - XLOOKUP(A1430, Inventory!A:A, Inventory!H:H, TODAY()))</f>
        <v/>
      </c>
    </row>
    <row r="1431">
      <c r="E1431">
        <f>IF(ISBLANK(A1431), "", XLOOKUP(A1431, Inventory!A:A, Inventory!E:E, 0))</f>
        <v/>
      </c>
      <c r="F1431">
        <f>IF(ISBLANK(A1431), "", (B1431 * XLOOKUP(C1431, 'Fees &amp; Postage Table'!A:A, 'Fees &amp; Postage Table'!C:C, 0)) + XLOOKUP(C1431, 'Fees &amp; Postage Table'!A:A, 'Fees &amp; Postage Table'!B:B, 0))</f>
        <v/>
      </c>
      <c r="G1431">
        <f>IF(ISBLANK(A1431), "", XLOOKUP(C1431, 'Fees &amp; Postage Table'!A:A, 'Fees &amp; Postage Table'!D:D, 0))</f>
        <v/>
      </c>
      <c r="H1431">
        <f>IF(ISBLANK(A1431), "", B1431 - E1431 - F1431 - G1431)</f>
        <v/>
      </c>
      <c r="I1431">
        <f>IF(ISBLANK(A1431), "", D1431 - XLOOKUP(A1431, Inventory!A:A, Inventory!H:H, TODAY()))</f>
        <v/>
      </c>
    </row>
    <row r="1432">
      <c r="E1432">
        <f>IF(ISBLANK(A1432), "", XLOOKUP(A1432, Inventory!A:A, Inventory!E:E, 0))</f>
        <v/>
      </c>
      <c r="F1432">
        <f>IF(ISBLANK(A1432), "", (B1432 * XLOOKUP(C1432, 'Fees &amp; Postage Table'!A:A, 'Fees &amp; Postage Table'!C:C, 0)) + XLOOKUP(C1432, 'Fees &amp; Postage Table'!A:A, 'Fees &amp; Postage Table'!B:B, 0))</f>
        <v/>
      </c>
      <c r="G1432">
        <f>IF(ISBLANK(A1432), "", XLOOKUP(C1432, 'Fees &amp; Postage Table'!A:A, 'Fees &amp; Postage Table'!D:D, 0))</f>
        <v/>
      </c>
      <c r="H1432">
        <f>IF(ISBLANK(A1432), "", B1432 - E1432 - F1432 - G1432)</f>
        <v/>
      </c>
      <c r="I1432">
        <f>IF(ISBLANK(A1432), "", D1432 - XLOOKUP(A1432, Inventory!A:A, Inventory!H:H, TODAY()))</f>
        <v/>
      </c>
    </row>
    <row r="1433">
      <c r="E1433">
        <f>IF(ISBLANK(A1433), "", XLOOKUP(A1433, Inventory!A:A, Inventory!E:E, 0))</f>
        <v/>
      </c>
      <c r="F1433">
        <f>IF(ISBLANK(A1433), "", (B1433 * XLOOKUP(C1433, 'Fees &amp; Postage Table'!A:A, 'Fees &amp; Postage Table'!C:C, 0)) + XLOOKUP(C1433, 'Fees &amp; Postage Table'!A:A, 'Fees &amp; Postage Table'!B:B, 0))</f>
        <v/>
      </c>
      <c r="G1433">
        <f>IF(ISBLANK(A1433), "", XLOOKUP(C1433, 'Fees &amp; Postage Table'!A:A, 'Fees &amp; Postage Table'!D:D, 0))</f>
        <v/>
      </c>
      <c r="H1433">
        <f>IF(ISBLANK(A1433), "", B1433 - E1433 - F1433 - G1433)</f>
        <v/>
      </c>
      <c r="I1433">
        <f>IF(ISBLANK(A1433), "", D1433 - XLOOKUP(A1433, Inventory!A:A, Inventory!H:H, TODAY()))</f>
        <v/>
      </c>
    </row>
    <row r="1434">
      <c r="E1434">
        <f>IF(ISBLANK(A1434), "", XLOOKUP(A1434, Inventory!A:A, Inventory!E:E, 0))</f>
        <v/>
      </c>
      <c r="F1434">
        <f>IF(ISBLANK(A1434), "", (B1434 * XLOOKUP(C1434, 'Fees &amp; Postage Table'!A:A, 'Fees &amp; Postage Table'!C:C, 0)) + XLOOKUP(C1434, 'Fees &amp; Postage Table'!A:A, 'Fees &amp; Postage Table'!B:B, 0))</f>
        <v/>
      </c>
      <c r="G1434">
        <f>IF(ISBLANK(A1434), "", XLOOKUP(C1434, 'Fees &amp; Postage Table'!A:A, 'Fees &amp; Postage Table'!D:D, 0))</f>
        <v/>
      </c>
      <c r="H1434">
        <f>IF(ISBLANK(A1434), "", B1434 - E1434 - F1434 - G1434)</f>
        <v/>
      </c>
      <c r="I1434">
        <f>IF(ISBLANK(A1434), "", D1434 - XLOOKUP(A1434, Inventory!A:A, Inventory!H:H, TODAY()))</f>
        <v/>
      </c>
    </row>
    <row r="1435">
      <c r="E1435">
        <f>IF(ISBLANK(A1435), "", XLOOKUP(A1435, Inventory!A:A, Inventory!E:E, 0))</f>
        <v/>
      </c>
      <c r="F1435">
        <f>IF(ISBLANK(A1435), "", (B1435 * XLOOKUP(C1435, 'Fees &amp; Postage Table'!A:A, 'Fees &amp; Postage Table'!C:C, 0)) + XLOOKUP(C1435, 'Fees &amp; Postage Table'!A:A, 'Fees &amp; Postage Table'!B:B, 0))</f>
        <v/>
      </c>
      <c r="G1435">
        <f>IF(ISBLANK(A1435), "", XLOOKUP(C1435, 'Fees &amp; Postage Table'!A:A, 'Fees &amp; Postage Table'!D:D, 0))</f>
        <v/>
      </c>
      <c r="H1435">
        <f>IF(ISBLANK(A1435), "", B1435 - E1435 - F1435 - G1435)</f>
        <v/>
      </c>
      <c r="I1435">
        <f>IF(ISBLANK(A1435), "", D1435 - XLOOKUP(A1435, Inventory!A:A, Inventory!H:H, TODAY()))</f>
        <v/>
      </c>
    </row>
    <row r="1436">
      <c r="E1436">
        <f>IF(ISBLANK(A1436), "", XLOOKUP(A1436, Inventory!A:A, Inventory!E:E, 0))</f>
        <v/>
      </c>
      <c r="F1436">
        <f>IF(ISBLANK(A1436), "", (B1436 * XLOOKUP(C1436, 'Fees &amp; Postage Table'!A:A, 'Fees &amp; Postage Table'!C:C, 0)) + XLOOKUP(C1436, 'Fees &amp; Postage Table'!A:A, 'Fees &amp; Postage Table'!B:B, 0))</f>
        <v/>
      </c>
      <c r="G1436">
        <f>IF(ISBLANK(A1436), "", XLOOKUP(C1436, 'Fees &amp; Postage Table'!A:A, 'Fees &amp; Postage Table'!D:D, 0))</f>
        <v/>
      </c>
      <c r="H1436">
        <f>IF(ISBLANK(A1436), "", B1436 - E1436 - F1436 - G1436)</f>
        <v/>
      </c>
      <c r="I1436">
        <f>IF(ISBLANK(A1436), "", D1436 - XLOOKUP(A1436, Inventory!A:A, Inventory!H:H, TODAY()))</f>
        <v/>
      </c>
    </row>
    <row r="1437">
      <c r="E1437">
        <f>IF(ISBLANK(A1437), "", XLOOKUP(A1437, Inventory!A:A, Inventory!E:E, 0))</f>
        <v/>
      </c>
      <c r="F1437">
        <f>IF(ISBLANK(A1437), "", (B1437 * XLOOKUP(C1437, 'Fees &amp; Postage Table'!A:A, 'Fees &amp; Postage Table'!C:C, 0)) + XLOOKUP(C1437, 'Fees &amp; Postage Table'!A:A, 'Fees &amp; Postage Table'!B:B, 0))</f>
        <v/>
      </c>
      <c r="G1437">
        <f>IF(ISBLANK(A1437), "", XLOOKUP(C1437, 'Fees &amp; Postage Table'!A:A, 'Fees &amp; Postage Table'!D:D, 0))</f>
        <v/>
      </c>
      <c r="H1437">
        <f>IF(ISBLANK(A1437), "", B1437 - E1437 - F1437 - G1437)</f>
        <v/>
      </c>
      <c r="I1437">
        <f>IF(ISBLANK(A1437), "", D1437 - XLOOKUP(A1437, Inventory!A:A, Inventory!H:H, TODAY()))</f>
        <v/>
      </c>
    </row>
    <row r="1438">
      <c r="E1438">
        <f>IF(ISBLANK(A1438), "", XLOOKUP(A1438, Inventory!A:A, Inventory!E:E, 0))</f>
        <v/>
      </c>
      <c r="F1438">
        <f>IF(ISBLANK(A1438), "", (B1438 * XLOOKUP(C1438, 'Fees &amp; Postage Table'!A:A, 'Fees &amp; Postage Table'!C:C, 0)) + XLOOKUP(C1438, 'Fees &amp; Postage Table'!A:A, 'Fees &amp; Postage Table'!B:B, 0))</f>
        <v/>
      </c>
      <c r="G1438">
        <f>IF(ISBLANK(A1438), "", XLOOKUP(C1438, 'Fees &amp; Postage Table'!A:A, 'Fees &amp; Postage Table'!D:D, 0))</f>
        <v/>
      </c>
      <c r="H1438">
        <f>IF(ISBLANK(A1438), "", B1438 - E1438 - F1438 - G1438)</f>
        <v/>
      </c>
      <c r="I1438">
        <f>IF(ISBLANK(A1438), "", D1438 - XLOOKUP(A1438, Inventory!A:A, Inventory!H:H, TODAY()))</f>
        <v/>
      </c>
    </row>
    <row r="1439">
      <c r="E1439">
        <f>IF(ISBLANK(A1439), "", XLOOKUP(A1439, Inventory!A:A, Inventory!E:E, 0))</f>
        <v/>
      </c>
      <c r="F1439">
        <f>IF(ISBLANK(A1439), "", (B1439 * XLOOKUP(C1439, 'Fees &amp; Postage Table'!A:A, 'Fees &amp; Postage Table'!C:C, 0)) + XLOOKUP(C1439, 'Fees &amp; Postage Table'!A:A, 'Fees &amp; Postage Table'!B:B, 0))</f>
        <v/>
      </c>
      <c r="G1439">
        <f>IF(ISBLANK(A1439), "", XLOOKUP(C1439, 'Fees &amp; Postage Table'!A:A, 'Fees &amp; Postage Table'!D:D, 0))</f>
        <v/>
      </c>
      <c r="H1439">
        <f>IF(ISBLANK(A1439), "", B1439 - E1439 - F1439 - G1439)</f>
        <v/>
      </c>
      <c r="I1439">
        <f>IF(ISBLANK(A1439), "", D1439 - XLOOKUP(A1439, Inventory!A:A, Inventory!H:H, TODAY()))</f>
        <v/>
      </c>
    </row>
    <row r="1440">
      <c r="E1440">
        <f>IF(ISBLANK(A1440), "", XLOOKUP(A1440, Inventory!A:A, Inventory!E:E, 0))</f>
        <v/>
      </c>
      <c r="F1440">
        <f>IF(ISBLANK(A1440), "", (B1440 * XLOOKUP(C1440, 'Fees &amp; Postage Table'!A:A, 'Fees &amp; Postage Table'!C:C, 0)) + XLOOKUP(C1440, 'Fees &amp; Postage Table'!A:A, 'Fees &amp; Postage Table'!B:B, 0))</f>
        <v/>
      </c>
      <c r="G1440">
        <f>IF(ISBLANK(A1440), "", XLOOKUP(C1440, 'Fees &amp; Postage Table'!A:A, 'Fees &amp; Postage Table'!D:D, 0))</f>
        <v/>
      </c>
      <c r="H1440">
        <f>IF(ISBLANK(A1440), "", B1440 - E1440 - F1440 - G1440)</f>
        <v/>
      </c>
      <c r="I1440">
        <f>IF(ISBLANK(A1440), "", D1440 - XLOOKUP(A1440, Inventory!A:A, Inventory!H:H, TODAY()))</f>
        <v/>
      </c>
    </row>
    <row r="1441">
      <c r="E1441">
        <f>IF(ISBLANK(A1441), "", XLOOKUP(A1441, Inventory!A:A, Inventory!E:E, 0))</f>
        <v/>
      </c>
      <c r="F1441">
        <f>IF(ISBLANK(A1441), "", (B1441 * XLOOKUP(C1441, 'Fees &amp; Postage Table'!A:A, 'Fees &amp; Postage Table'!C:C, 0)) + XLOOKUP(C1441, 'Fees &amp; Postage Table'!A:A, 'Fees &amp; Postage Table'!B:B, 0))</f>
        <v/>
      </c>
      <c r="G1441">
        <f>IF(ISBLANK(A1441), "", XLOOKUP(C1441, 'Fees &amp; Postage Table'!A:A, 'Fees &amp; Postage Table'!D:D, 0))</f>
        <v/>
      </c>
      <c r="H1441">
        <f>IF(ISBLANK(A1441), "", B1441 - E1441 - F1441 - G1441)</f>
        <v/>
      </c>
      <c r="I1441">
        <f>IF(ISBLANK(A1441), "", D1441 - XLOOKUP(A1441, Inventory!A:A, Inventory!H:H, TODAY()))</f>
        <v/>
      </c>
    </row>
    <row r="1442">
      <c r="E1442">
        <f>IF(ISBLANK(A1442), "", XLOOKUP(A1442, Inventory!A:A, Inventory!E:E, 0))</f>
        <v/>
      </c>
      <c r="F1442">
        <f>IF(ISBLANK(A1442), "", (B1442 * XLOOKUP(C1442, 'Fees &amp; Postage Table'!A:A, 'Fees &amp; Postage Table'!C:C, 0)) + XLOOKUP(C1442, 'Fees &amp; Postage Table'!A:A, 'Fees &amp; Postage Table'!B:B, 0))</f>
        <v/>
      </c>
      <c r="G1442">
        <f>IF(ISBLANK(A1442), "", XLOOKUP(C1442, 'Fees &amp; Postage Table'!A:A, 'Fees &amp; Postage Table'!D:D, 0))</f>
        <v/>
      </c>
      <c r="H1442">
        <f>IF(ISBLANK(A1442), "", B1442 - E1442 - F1442 - G1442)</f>
        <v/>
      </c>
      <c r="I1442">
        <f>IF(ISBLANK(A1442), "", D1442 - XLOOKUP(A1442, Inventory!A:A, Inventory!H:H, TODAY()))</f>
        <v/>
      </c>
    </row>
    <row r="1443">
      <c r="E1443">
        <f>IF(ISBLANK(A1443), "", XLOOKUP(A1443, Inventory!A:A, Inventory!E:E, 0))</f>
        <v/>
      </c>
      <c r="F1443">
        <f>IF(ISBLANK(A1443), "", (B1443 * XLOOKUP(C1443, 'Fees &amp; Postage Table'!A:A, 'Fees &amp; Postage Table'!C:C, 0)) + XLOOKUP(C1443, 'Fees &amp; Postage Table'!A:A, 'Fees &amp; Postage Table'!B:B, 0))</f>
        <v/>
      </c>
      <c r="G1443">
        <f>IF(ISBLANK(A1443), "", XLOOKUP(C1443, 'Fees &amp; Postage Table'!A:A, 'Fees &amp; Postage Table'!D:D, 0))</f>
        <v/>
      </c>
      <c r="H1443">
        <f>IF(ISBLANK(A1443), "", B1443 - E1443 - F1443 - G1443)</f>
        <v/>
      </c>
      <c r="I1443">
        <f>IF(ISBLANK(A1443), "", D1443 - XLOOKUP(A1443, Inventory!A:A, Inventory!H:H, TODAY()))</f>
        <v/>
      </c>
    </row>
    <row r="1444">
      <c r="E1444">
        <f>IF(ISBLANK(A1444), "", XLOOKUP(A1444, Inventory!A:A, Inventory!E:E, 0))</f>
        <v/>
      </c>
      <c r="F1444">
        <f>IF(ISBLANK(A1444), "", (B1444 * XLOOKUP(C1444, 'Fees &amp; Postage Table'!A:A, 'Fees &amp; Postage Table'!C:C, 0)) + XLOOKUP(C1444, 'Fees &amp; Postage Table'!A:A, 'Fees &amp; Postage Table'!B:B, 0))</f>
        <v/>
      </c>
      <c r="G1444">
        <f>IF(ISBLANK(A1444), "", XLOOKUP(C1444, 'Fees &amp; Postage Table'!A:A, 'Fees &amp; Postage Table'!D:D, 0))</f>
        <v/>
      </c>
      <c r="H1444">
        <f>IF(ISBLANK(A1444), "", B1444 - E1444 - F1444 - G1444)</f>
        <v/>
      </c>
      <c r="I1444">
        <f>IF(ISBLANK(A1444), "", D1444 - XLOOKUP(A1444, Inventory!A:A, Inventory!H:H, TODAY()))</f>
        <v/>
      </c>
    </row>
    <row r="1445">
      <c r="E1445">
        <f>IF(ISBLANK(A1445), "", XLOOKUP(A1445, Inventory!A:A, Inventory!E:E, 0))</f>
        <v/>
      </c>
      <c r="F1445">
        <f>IF(ISBLANK(A1445), "", (B1445 * XLOOKUP(C1445, 'Fees &amp; Postage Table'!A:A, 'Fees &amp; Postage Table'!C:C, 0)) + XLOOKUP(C1445, 'Fees &amp; Postage Table'!A:A, 'Fees &amp; Postage Table'!B:B, 0))</f>
        <v/>
      </c>
      <c r="G1445">
        <f>IF(ISBLANK(A1445), "", XLOOKUP(C1445, 'Fees &amp; Postage Table'!A:A, 'Fees &amp; Postage Table'!D:D, 0))</f>
        <v/>
      </c>
      <c r="H1445">
        <f>IF(ISBLANK(A1445), "", B1445 - E1445 - F1445 - G1445)</f>
        <v/>
      </c>
      <c r="I1445">
        <f>IF(ISBLANK(A1445), "", D1445 - XLOOKUP(A1445, Inventory!A:A, Inventory!H:H, TODAY()))</f>
        <v/>
      </c>
    </row>
    <row r="1446">
      <c r="E1446">
        <f>IF(ISBLANK(A1446), "", XLOOKUP(A1446, Inventory!A:A, Inventory!E:E, 0))</f>
        <v/>
      </c>
      <c r="F1446">
        <f>IF(ISBLANK(A1446), "", (B1446 * XLOOKUP(C1446, 'Fees &amp; Postage Table'!A:A, 'Fees &amp; Postage Table'!C:C, 0)) + XLOOKUP(C1446, 'Fees &amp; Postage Table'!A:A, 'Fees &amp; Postage Table'!B:B, 0))</f>
        <v/>
      </c>
      <c r="G1446">
        <f>IF(ISBLANK(A1446), "", XLOOKUP(C1446, 'Fees &amp; Postage Table'!A:A, 'Fees &amp; Postage Table'!D:D, 0))</f>
        <v/>
      </c>
      <c r="H1446">
        <f>IF(ISBLANK(A1446), "", B1446 - E1446 - F1446 - G1446)</f>
        <v/>
      </c>
      <c r="I1446">
        <f>IF(ISBLANK(A1446), "", D1446 - XLOOKUP(A1446, Inventory!A:A, Inventory!H:H, TODAY()))</f>
        <v/>
      </c>
    </row>
    <row r="1447">
      <c r="E1447">
        <f>IF(ISBLANK(A1447), "", XLOOKUP(A1447, Inventory!A:A, Inventory!E:E, 0))</f>
        <v/>
      </c>
      <c r="F1447">
        <f>IF(ISBLANK(A1447), "", (B1447 * XLOOKUP(C1447, 'Fees &amp; Postage Table'!A:A, 'Fees &amp; Postage Table'!C:C, 0)) + XLOOKUP(C1447, 'Fees &amp; Postage Table'!A:A, 'Fees &amp; Postage Table'!B:B, 0))</f>
        <v/>
      </c>
      <c r="G1447">
        <f>IF(ISBLANK(A1447), "", XLOOKUP(C1447, 'Fees &amp; Postage Table'!A:A, 'Fees &amp; Postage Table'!D:D, 0))</f>
        <v/>
      </c>
      <c r="H1447">
        <f>IF(ISBLANK(A1447), "", B1447 - E1447 - F1447 - G1447)</f>
        <v/>
      </c>
      <c r="I1447">
        <f>IF(ISBLANK(A1447), "", D1447 - XLOOKUP(A1447, Inventory!A:A, Inventory!H:H, TODAY()))</f>
        <v/>
      </c>
    </row>
    <row r="1448">
      <c r="E1448">
        <f>IF(ISBLANK(A1448), "", XLOOKUP(A1448, Inventory!A:A, Inventory!E:E, 0))</f>
        <v/>
      </c>
      <c r="F1448">
        <f>IF(ISBLANK(A1448), "", (B1448 * XLOOKUP(C1448, 'Fees &amp; Postage Table'!A:A, 'Fees &amp; Postage Table'!C:C, 0)) + XLOOKUP(C1448, 'Fees &amp; Postage Table'!A:A, 'Fees &amp; Postage Table'!B:B, 0))</f>
        <v/>
      </c>
      <c r="G1448">
        <f>IF(ISBLANK(A1448), "", XLOOKUP(C1448, 'Fees &amp; Postage Table'!A:A, 'Fees &amp; Postage Table'!D:D, 0))</f>
        <v/>
      </c>
      <c r="H1448">
        <f>IF(ISBLANK(A1448), "", B1448 - E1448 - F1448 - G1448)</f>
        <v/>
      </c>
      <c r="I1448">
        <f>IF(ISBLANK(A1448), "", D1448 - XLOOKUP(A1448, Inventory!A:A, Inventory!H:H, TODAY()))</f>
        <v/>
      </c>
    </row>
    <row r="1449">
      <c r="E1449">
        <f>IF(ISBLANK(A1449), "", XLOOKUP(A1449, Inventory!A:A, Inventory!E:E, 0))</f>
        <v/>
      </c>
      <c r="F1449">
        <f>IF(ISBLANK(A1449), "", (B1449 * XLOOKUP(C1449, 'Fees &amp; Postage Table'!A:A, 'Fees &amp; Postage Table'!C:C, 0)) + XLOOKUP(C1449, 'Fees &amp; Postage Table'!A:A, 'Fees &amp; Postage Table'!B:B, 0))</f>
        <v/>
      </c>
      <c r="G1449">
        <f>IF(ISBLANK(A1449), "", XLOOKUP(C1449, 'Fees &amp; Postage Table'!A:A, 'Fees &amp; Postage Table'!D:D, 0))</f>
        <v/>
      </c>
      <c r="H1449">
        <f>IF(ISBLANK(A1449), "", B1449 - E1449 - F1449 - G1449)</f>
        <v/>
      </c>
      <c r="I1449">
        <f>IF(ISBLANK(A1449), "", D1449 - XLOOKUP(A1449, Inventory!A:A, Inventory!H:H, TODAY()))</f>
        <v/>
      </c>
    </row>
    <row r="1450">
      <c r="E1450">
        <f>IF(ISBLANK(A1450), "", XLOOKUP(A1450, Inventory!A:A, Inventory!E:E, 0))</f>
        <v/>
      </c>
      <c r="F1450">
        <f>IF(ISBLANK(A1450), "", (B1450 * XLOOKUP(C1450, 'Fees &amp; Postage Table'!A:A, 'Fees &amp; Postage Table'!C:C, 0)) + XLOOKUP(C1450, 'Fees &amp; Postage Table'!A:A, 'Fees &amp; Postage Table'!B:B, 0))</f>
        <v/>
      </c>
      <c r="G1450">
        <f>IF(ISBLANK(A1450), "", XLOOKUP(C1450, 'Fees &amp; Postage Table'!A:A, 'Fees &amp; Postage Table'!D:D, 0))</f>
        <v/>
      </c>
      <c r="H1450">
        <f>IF(ISBLANK(A1450), "", B1450 - E1450 - F1450 - G1450)</f>
        <v/>
      </c>
      <c r="I1450">
        <f>IF(ISBLANK(A1450), "", D1450 - XLOOKUP(A1450, Inventory!A:A, Inventory!H:H, TODAY()))</f>
        <v/>
      </c>
    </row>
    <row r="1451">
      <c r="E1451">
        <f>IF(ISBLANK(A1451), "", XLOOKUP(A1451, Inventory!A:A, Inventory!E:E, 0))</f>
        <v/>
      </c>
      <c r="F1451">
        <f>IF(ISBLANK(A1451), "", (B1451 * XLOOKUP(C1451, 'Fees &amp; Postage Table'!A:A, 'Fees &amp; Postage Table'!C:C, 0)) + XLOOKUP(C1451, 'Fees &amp; Postage Table'!A:A, 'Fees &amp; Postage Table'!B:B, 0))</f>
        <v/>
      </c>
      <c r="G1451">
        <f>IF(ISBLANK(A1451), "", XLOOKUP(C1451, 'Fees &amp; Postage Table'!A:A, 'Fees &amp; Postage Table'!D:D, 0))</f>
        <v/>
      </c>
      <c r="H1451">
        <f>IF(ISBLANK(A1451), "", B1451 - E1451 - F1451 - G1451)</f>
        <v/>
      </c>
      <c r="I1451">
        <f>IF(ISBLANK(A1451), "", D1451 - XLOOKUP(A1451, Inventory!A:A, Inventory!H:H, TODAY()))</f>
        <v/>
      </c>
    </row>
    <row r="1452">
      <c r="E1452">
        <f>IF(ISBLANK(A1452), "", XLOOKUP(A1452, Inventory!A:A, Inventory!E:E, 0))</f>
        <v/>
      </c>
      <c r="F1452">
        <f>IF(ISBLANK(A1452), "", (B1452 * XLOOKUP(C1452, 'Fees &amp; Postage Table'!A:A, 'Fees &amp; Postage Table'!C:C, 0)) + XLOOKUP(C1452, 'Fees &amp; Postage Table'!A:A, 'Fees &amp; Postage Table'!B:B, 0))</f>
        <v/>
      </c>
      <c r="G1452">
        <f>IF(ISBLANK(A1452), "", XLOOKUP(C1452, 'Fees &amp; Postage Table'!A:A, 'Fees &amp; Postage Table'!D:D, 0))</f>
        <v/>
      </c>
      <c r="H1452">
        <f>IF(ISBLANK(A1452), "", B1452 - E1452 - F1452 - G1452)</f>
        <v/>
      </c>
      <c r="I1452">
        <f>IF(ISBLANK(A1452), "", D1452 - XLOOKUP(A1452, Inventory!A:A, Inventory!H:H, TODAY()))</f>
        <v/>
      </c>
    </row>
    <row r="1453">
      <c r="E1453">
        <f>IF(ISBLANK(A1453), "", XLOOKUP(A1453, Inventory!A:A, Inventory!E:E, 0))</f>
        <v/>
      </c>
      <c r="F1453">
        <f>IF(ISBLANK(A1453), "", (B1453 * XLOOKUP(C1453, 'Fees &amp; Postage Table'!A:A, 'Fees &amp; Postage Table'!C:C, 0)) + XLOOKUP(C1453, 'Fees &amp; Postage Table'!A:A, 'Fees &amp; Postage Table'!B:B, 0))</f>
        <v/>
      </c>
      <c r="G1453">
        <f>IF(ISBLANK(A1453), "", XLOOKUP(C1453, 'Fees &amp; Postage Table'!A:A, 'Fees &amp; Postage Table'!D:D, 0))</f>
        <v/>
      </c>
      <c r="H1453">
        <f>IF(ISBLANK(A1453), "", B1453 - E1453 - F1453 - G1453)</f>
        <v/>
      </c>
      <c r="I1453">
        <f>IF(ISBLANK(A1453), "", D1453 - XLOOKUP(A1453, Inventory!A:A, Inventory!H:H, TODAY()))</f>
        <v/>
      </c>
    </row>
    <row r="1454">
      <c r="E1454">
        <f>IF(ISBLANK(A1454), "", XLOOKUP(A1454, Inventory!A:A, Inventory!E:E, 0))</f>
        <v/>
      </c>
      <c r="F1454">
        <f>IF(ISBLANK(A1454), "", (B1454 * XLOOKUP(C1454, 'Fees &amp; Postage Table'!A:A, 'Fees &amp; Postage Table'!C:C, 0)) + XLOOKUP(C1454, 'Fees &amp; Postage Table'!A:A, 'Fees &amp; Postage Table'!B:B, 0))</f>
        <v/>
      </c>
      <c r="G1454">
        <f>IF(ISBLANK(A1454), "", XLOOKUP(C1454, 'Fees &amp; Postage Table'!A:A, 'Fees &amp; Postage Table'!D:D, 0))</f>
        <v/>
      </c>
      <c r="H1454">
        <f>IF(ISBLANK(A1454), "", B1454 - E1454 - F1454 - G1454)</f>
        <v/>
      </c>
      <c r="I1454">
        <f>IF(ISBLANK(A1454), "", D1454 - XLOOKUP(A1454, Inventory!A:A, Inventory!H:H, TODAY()))</f>
        <v/>
      </c>
    </row>
    <row r="1455">
      <c r="E1455">
        <f>IF(ISBLANK(A1455), "", XLOOKUP(A1455, Inventory!A:A, Inventory!E:E, 0))</f>
        <v/>
      </c>
      <c r="F1455">
        <f>IF(ISBLANK(A1455), "", (B1455 * XLOOKUP(C1455, 'Fees &amp; Postage Table'!A:A, 'Fees &amp; Postage Table'!C:C, 0)) + XLOOKUP(C1455, 'Fees &amp; Postage Table'!A:A, 'Fees &amp; Postage Table'!B:B, 0))</f>
        <v/>
      </c>
      <c r="G1455">
        <f>IF(ISBLANK(A1455), "", XLOOKUP(C1455, 'Fees &amp; Postage Table'!A:A, 'Fees &amp; Postage Table'!D:D, 0))</f>
        <v/>
      </c>
      <c r="H1455">
        <f>IF(ISBLANK(A1455), "", B1455 - E1455 - F1455 - G1455)</f>
        <v/>
      </c>
      <c r="I1455">
        <f>IF(ISBLANK(A1455), "", D1455 - XLOOKUP(A1455, Inventory!A:A, Inventory!H:H, TODAY()))</f>
        <v/>
      </c>
    </row>
    <row r="1456">
      <c r="E1456">
        <f>IF(ISBLANK(A1456), "", XLOOKUP(A1456, Inventory!A:A, Inventory!E:E, 0))</f>
        <v/>
      </c>
      <c r="F1456">
        <f>IF(ISBLANK(A1456), "", (B1456 * XLOOKUP(C1456, 'Fees &amp; Postage Table'!A:A, 'Fees &amp; Postage Table'!C:C, 0)) + XLOOKUP(C1456, 'Fees &amp; Postage Table'!A:A, 'Fees &amp; Postage Table'!B:B, 0))</f>
        <v/>
      </c>
      <c r="G1456">
        <f>IF(ISBLANK(A1456), "", XLOOKUP(C1456, 'Fees &amp; Postage Table'!A:A, 'Fees &amp; Postage Table'!D:D, 0))</f>
        <v/>
      </c>
      <c r="H1456">
        <f>IF(ISBLANK(A1456), "", B1456 - E1456 - F1456 - G1456)</f>
        <v/>
      </c>
      <c r="I1456">
        <f>IF(ISBLANK(A1456), "", D1456 - XLOOKUP(A1456, Inventory!A:A, Inventory!H:H, TODAY()))</f>
        <v/>
      </c>
    </row>
    <row r="1457">
      <c r="E1457">
        <f>IF(ISBLANK(A1457), "", XLOOKUP(A1457, Inventory!A:A, Inventory!E:E, 0))</f>
        <v/>
      </c>
      <c r="F1457">
        <f>IF(ISBLANK(A1457), "", (B1457 * XLOOKUP(C1457, 'Fees &amp; Postage Table'!A:A, 'Fees &amp; Postage Table'!C:C, 0)) + XLOOKUP(C1457, 'Fees &amp; Postage Table'!A:A, 'Fees &amp; Postage Table'!B:B, 0))</f>
        <v/>
      </c>
      <c r="G1457">
        <f>IF(ISBLANK(A1457), "", XLOOKUP(C1457, 'Fees &amp; Postage Table'!A:A, 'Fees &amp; Postage Table'!D:D, 0))</f>
        <v/>
      </c>
      <c r="H1457">
        <f>IF(ISBLANK(A1457), "", B1457 - E1457 - F1457 - G1457)</f>
        <v/>
      </c>
      <c r="I1457">
        <f>IF(ISBLANK(A1457), "", D1457 - XLOOKUP(A1457, Inventory!A:A, Inventory!H:H, TODAY()))</f>
        <v/>
      </c>
    </row>
    <row r="1458">
      <c r="E1458">
        <f>IF(ISBLANK(A1458), "", XLOOKUP(A1458, Inventory!A:A, Inventory!E:E, 0))</f>
        <v/>
      </c>
      <c r="F1458">
        <f>IF(ISBLANK(A1458), "", (B1458 * XLOOKUP(C1458, 'Fees &amp; Postage Table'!A:A, 'Fees &amp; Postage Table'!C:C, 0)) + XLOOKUP(C1458, 'Fees &amp; Postage Table'!A:A, 'Fees &amp; Postage Table'!B:B, 0))</f>
        <v/>
      </c>
      <c r="G1458">
        <f>IF(ISBLANK(A1458), "", XLOOKUP(C1458, 'Fees &amp; Postage Table'!A:A, 'Fees &amp; Postage Table'!D:D, 0))</f>
        <v/>
      </c>
      <c r="H1458">
        <f>IF(ISBLANK(A1458), "", B1458 - E1458 - F1458 - G1458)</f>
        <v/>
      </c>
      <c r="I1458">
        <f>IF(ISBLANK(A1458), "", D1458 - XLOOKUP(A1458, Inventory!A:A, Inventory!H:H, TODAY()))</f>
        <v/>
      </c>
    </row>
    <row r="1459">
      <c r="E1459">
        <f>IF(ISBLANK(A1459), "", XLOOKUP(A1459, Inventory!A:A, Inventory!E:E, 0))</f>
        <v/>
      </c>
      <c r="F1459">
        <f>IF(ISBLANK(A1459), "", (B1459 * XLOOKUP(C1459, 'Fees &amp; Postage Table'!A:A, 'Fees &amp; Postage Table'!C:C, 0)) + XLOOKUP(C1459, 'Fees &amp; Postage Table'!A:A, 'Fees &amp; Postage Table'!B:B, 0))</f>
        <v/>
      </c>
      <c r="G1459">
        <f>IF(ISBLANK(A1459), "", XLOOKUP(C1459, 'Fees &amp; Postage Table'!A:A, 'Fees &amp; Postage Table'!D:D, 0))</f>
        <v/>
      </c>
      <c r="H1459">
        <f>IF(ISBLANK(A1459), "", B1459 - E1459 - F1459 - G1459)</f>
        <v/>
      </c>
      <c r="I1459">
        <f>IF(ISBLANK(A1459), "", D1459 - XLOOKUP(A1459, Inventory!A:A, Inventory!H:H, TODAY()))</f>
        <v/>
      </c>
    </row>
    <row r="1460">
      <c r="E1460">
        <f>IF(ISBLANK(A1460), "", XLOOKUP(A1460, Inventory!A:A, Inventory!E:E, 0))</f>
        <v/>
      </c>
      <c r="F1460">
        <f>IF(ISBLANK(A1460), "", (B1460 * XLOOKUP(C1460, 'Fees &amp; Postage Table'!A:A, 'Fees &amp; Postage Table'!C:C, 0)) + XLOOKUP(C1460, 'Fees &amp; Postage Table'!A:A, 'Fees &amp; Postage Table'!B:B, 0))</f>
        <v/>
      </c>
      <c r="G1460">
        <f>IF(ISBLANK(A1460), "", XLOOKUP(C1460, 'Fees &amp; Postage Table'!A:A, 'Fees &amp; Postage Table'!D:D, 0))</f>
        <v/>
      </c>
      <c r="H1460">
        <f>IF(ISBLANK(A1460), "", B1460 - E1460 - F1460 - G1460)</f>
        <v/>
      </c>
      <c r="I1460">
        <f>IF(ISBLANK(A1460), "", D1460 - XLOOKUP(A1460, Inventory!A:A, Inventory!H:H, TODAY()))</f>
        <v/>
      </c>
    </row>
    <row r="1461">
      <c r="E1461">
        <f>IF(ISBLANK(A1461), "", XLOOKUP(A1461, Inventory!A:A, Inventory!E:E, 0))</f>
        <v/>
      </c>
      <c r="F1461">
        <f>IF(ISBLANK(A1461), "", (B1461 * XLOOKUP(C1461, 'Fees &amp; Postage Table'!A:A, 'Fees &amp; Postage Table'!C:C, 0)) + XLOOKUP(C1461, 'Fees &amp; Postage Table'!A:A, 'Fees &amp; Postage Table'!B:B, 0))</f>
        <v/>
      </c>
      <c r="G1461">
        <f>IF(ISBLANK(A1461), "", XLOOKUP(C1461, 'Fees &amp; Postage Table'!A:A, 'Fees &amp; Postage Table'!D:D, 0))</f>
        <v/>
      </c>
      <c r="H1461">
        <f>IF(ISBLANK(A1461), "", B1461 - E1461 - F1461 - G1461)</f>
        <v/>
      </c>
      <c r="I1461">
        <f>IF(ISBLANK(A1461), "", D1461 - XLOOKUP(A1461, Inventory!A:A, Inventory!H:H, TODAY()))</f>
        <v/>
      </c>
    </row>
    <row r="1462">
      <c r="E1462">
        <f>IF(ISBLANK(A1462), "", XLOOKUP(A1462, Inventory!A:A, Inventory!E:E, 0))</f>
        <v/>
      </c>
      <c r="F1462">
        <f>IF(ISBLANK(A1462), "", (B1462 * XLOOKUP(C1462, 'Fees &amp; Postage Table'!A:A, 'Fees &amp; Postage Table'!C:C, 0)) + XLOOKUP(C1462, 'Fees &amp; Postage Table'!A:A, 'Fees &amp; Postage Table'!B:B, 0))</f>
        <v/>
      </c>
      <c r="G1462">
        <f>IF(ISBLANK(A1462), "", XLOOKUP(C1462, 'Fees &amp; Postage Table'!A:A, 'Fees &amp; Postage Table'!D:D, 0))</f>
        <v/>
      </c>
      <c r="H1462">
        <f>IF(ISBLANK(A1462), "", B1462 - E1462 - F1462 - G1462)</f>
        <v/>
      </c>
      <c r="I1462">
        <f>IF(ISBLANK(A1462), "", D1462 - XLOOKUP(A1462, Inventory!A:A, Inventory!H:H, TODAY()))</f>
        <v/>
      </c>
    </row>
    <row r="1463">
      <c r="E1463">
        <f>IF(ISBLANK(A1463), "", XLOOKUP(A1463, Inventory!A:A, Inventory!E:E, 0))</f>
        <v/>
      </c>
      <c r="F1463">
        <f>IF(ISBLANK(A1463), "", (B1463 * XLOOKUP(C1463, 'Fees &amp; Postage Table'!A:A, 'Fees &amp; Postage Table'!C:C, 0)) + XLOOKUP(C1463, 'Fees &amp; Postage Table'!A:A, 'Fees &amp; Postage Table'!B:B, 0))</f>
        <v/>
      </c>
      <c r="G1463">
        <f>IF(ISBLANK(A1463), "", XLOOKUP(C1463, 'Fees &amp; Postage Table'!A:A, 'Fees &amp; Postage Table'!D:D, 0))</f>
        <v/>
      </c>
      <c r="H1463">
        <f>IF(ISBLANK(A1463), "", B1463 - E1463 - F1463 - G1463)</f>
        <v/>
      </c>
      <c r="I1463">
        <f>IF(ISBLANK(A1463), "", D1463 - XLOOKUP(A1463, Inventory!A:A, Inventory!H:H, TODAY()))</f>
        <v/>
      </c>
    </row>
    <row r="1464">
      <c r="E1464">
        <f>IF(ISBLANK(A1464), "", XLOOKUP(A1464, Inventory!A:A, Inventory!E:E, 0))</f>
        <v/>
      </c>
      <c r="F1464">
        <f>IF(ISBLANK(A1464), "", (B1464 * XLOOKUP(C1464, 'Fees &amp; Postage Table'!A:A, 'Fees &amp; Postage Table'!C:C, 0)) + XLOOKUP(C1464, 'Fees &amp; Postage Table'!A:A, 'Fees &amp; Postage Table'!B:B, 0))</f>
        <v/>
      </c>
      <c r="G1464">
        <f>IF(ISBLANK(A1464), "", XLOOKUP(C1464, 'Fees &amp; Postage Table'!A:A, 'Fees &amp; Postage Table'!D:D, 0))</f>
        <v/>
      </c>
      <c r="H1464">
        <f>IF(ISBLANK(A1464), "", B1464 - E1464 - F1464 - G1464)</f>
        <v/>
      </c>
      <c r="I1464">
        <f>IF(ISBLANK(A1464), "", D1464 - XLOOKUP(A1464, Inventory!A:A, Inventory!H:H, TODAY()))</f>
        <v/>
      </c>
    </row>
    <row r="1465">
      <c r="E1465">
        <f>IF(ISBLANK(A1465), "", XLOOKUP(A1465, Inventory!A:A, Inventory!E:E, 0))</f>
        <v/>
      </c>
      <c r="F1465">
        <f>IF(ISBLANK(A1465), "", (B1465 * XLOOKUP(C1465, 'Fees &amp; Postage Table'!A:A, 'Fees &amp; Postage Table'!C:C, 0)) + XLOOKUP(C1465, 'Fees &amp; Postage Table'!A:A, 'Fees &amp; Postage Table'!B:B, 0))</f>
        <v/>
      </c>
      <c r="G1465">
        <f>IF(ISBLANK(A1465), "", XLOOKUP(C1465, 'Fees &amp; Postage Table'!A:A, 'Fees &amp; Postage Table'!D:D, 0))</f>
        <v/>
      </c>
      <c r="H1465">
        <f>IF(ISBLANK(A1465), "", B1465 - E1465 - F1465 - G1465)</f>
        <v/>
      </c>
      <c r="I1465">
        <f>IF(ISBLANK(A1465), "", D1465 - XLOOKUP(A1465, Inventory!A:A, Inventory!H:H, TODAY()))</f>
        <v/>
      </c>
    </row>
    <row r="1466">
      <c r="E1466">
        <f>IF(ISBLANK(A1466), "", XLOOKUP(A1466, Inventory!A:A, Inventory!E:E, 0))</f>
        <v/>
      </c>
      <c r="F1466">
        <f>IF(ISBLANK(A1466), "", (B1466 * XLOOKUP(C1466, 'Fees &amp; Postage Table'!A:A, 'Fees &amp; Postage Table'!C:C, 0)) + XLOOKUP(C1466, 'Fees &amp; Postage Table'!A:A, 'Fees &amp; Postage Table'!B:B, 0))</f>
        <v/>
      </c>
      <c r="G1466">
        <f>IF(ISBLANK(A1466), "", XLOOKUP(C1466, 'Fees &amp; Postage Table'!A:A, 'Fees &amp; Postage Table'!D:D, 0))</f>
        <v/>
      </c>
      <c r="H1466">
        <f>IF(ISBLANK(A1466), "", B1466 - E1466 - F1466 - G1466)</f>
        <v/>
      </c>
      <c r="I1466">
        <f>IF(ISBLANK(A1466), "", D1466 - XLOOKUP(A1466, Inventory!A:A, Inventory!H:H, TODAY()))</f>
        <v/>
      </c>
    </row>
    <row r="1467">
      <c r="E1467">
        <f>IF(ISBLANK(A1467), "", XLOOKUP(A1467, Inventory!A:A, Inventory!E:E, 0))</f>
        <v/>
      </c>
      <c r="F1467">
        <f>IF(ISBLANK(A1467), "", (B1467 * XLOOKUP(C1467, 'Fees &amp; Postage Table'!A:A, 'Fees &amp; Postage Table'!C:C, 0)) + XLOOKUP(C1467, 'Fees &amp; Postage Table'!A:A, 'Fees &amp; Postage Table'!B:B, 0))</f>
        <v/>
      </c>
      <c r="G1467">
        <f>IF(ISBLANK(A1467), "", XLOOKUP(C1467, 'Fees &amp; Postage Table'!A:A, 'Fees &amp; Postage Table'!D:D, 0))</f>
        <v/>
      </c>
      <c r="H1467">
        <f>IF(ISBLANK(A1467), "", B1467 - E1467 - F1467 - G1467)</f>
        <v/>
      </c>
      <c r="I1467">
        <f>IF(ISBLANK(A1467), "", D1467 - XLOOKUP(A1467, Inventory!A:A, Inventory!H:H, TODAY()))</f>
        <v/>
      </c>
    </row>
    <row r="1468">
      <c r="E1468">
        <f>IF(ISBLANK(A1468), "", XLOOKUP(A1468, Inventory!A:A, Inventory!E:E, 0))</f>
        <v/>
      </c>
      <c r="F1468">
        <f>IF(ISBLANK(A1468), "", (B1468 * XLOOKUP(C1468, 'Fees &amp; Postage Table'!A:A, 'Fees &amp; Postage Table'!C:C, 0)) + XLOOKUP(C1468, 'Fees &amp; Postage Table'!A:A, 'Fees &amp; Postage Table'!B:B, 0))</f>
        <v/>
      </c>
      <c r="G1468">
        <f>IF(ISBLANK(A1468), "", XLOOKUP(C1468, 'Fees &amp; Postage Table'!A:A, 'Fees &amp; Postage Table'!D:D, 0))</f>
        <v/>
      </c>
      <c r="H1468">
        <f>IF(ISBLANK(A1468), "", B1468 - E1468 - F1468 - G1468)</f>
        <v/>
      </c>
      <c r="I1468">
        <f>IF(ISBLANK(A1468), "", D1468 - XLOOKUP(A1468, Inventory!A:A, Inventory!H:H, TODAY()))</f>
        <v/>
      </c>
    </row>
    <row r="1469">
      <c r="E1469">
        <f>IF(ISBLANK(A1469), "", XLOOKUP(A1469, Inventory!A:A, Inventory!E:E, 0))</f>
        <v/>
      </c>
      <c r="F1469">
        <f>IF(ISBLANK(A1469), "", (B1469 * XLOOKUP(C1469, 'Fees &amp; Postage Table'!A:A, 'Fees &amp; Postage Table'!C:C, 0)) + XLOOKUP(C1469, 'Fees &amp; Postage Table'!A:A, 'Fees &amp; Postage Table'!B:B, 0))</f>
        <v/>
      </c>
      <c r="G1469">
        <f>IF(ISBLANK(A1469), "", XLOOKUP(C1469, 'Fees &amp; Postage Table'!A:A, 'Fees &amp; Postage Table'!D:D, 0))</f>
        <v/>
      </c>
      <c r="H1469">
        <f>IF(ISBLANK(A1469), "", B1469 - E1469 - F1469 - G1469)</f>
        <v/>
      </c>
      <c r="I1469">
        <f>IF(ISBLANK(A1469), "", D1469 - XLOOKUP(A1469, Inventory!A:A, Inventory!H:H, TODAY()))</f>
        <v/>
      </c>
    </row>
    <row r="1470">
      <c r="E1470">
        <f>IF(ISBLANK(A1470), "", XLOOKUP(A1470, Inventory!A:A, Inventory!E:E, 0))</f>
        <v/>
      </c>
      <c r="F1470">
        <f>IF(ISBLANK(A1470), "", (B1470 * XLOOKUP(C1470, 'Fees &amp; Postage Table'!A:A, 'Fees &amp; Postage Table'!C:C, 0)) + XLOOKUP(C1470, 'Fees &amp; Postage Table'!A:A, 'Fees &amp; Postage Table'!B:B, 0))</f>
        <v/>
      </c>
      <c r="G1470">
        <f>IF(ISBLANK(A1470), "", XLOOKUP(C1470, 'Fees &amp; Postage Table'!A:A, 'Fees &amp; Postage Table'!D:D, 0))</f>
        <v/>
      </c>
      <c r="H1470">
        <f>IF(ISBLANK(A1470), "", B1470 - E1470 - F1470 - G1470)</f>
        <v/>
      </c>
      <c r="I1470">
        <f>IF(ISBLANK(A1470), "", D1470 - XLOOKUP(A1470, Inventory!A:A, Inventory!H:H, TODAY()))</f>
        <v/>
      </c>
    </row>
    <row r="1471">
      <c r="E1471">
        <f>IF(ISBLANK(A1471), "", XLOOKUP(A1471, Inventory!A:A, Inventory!E:E, 0))</f>
        <v/>
      </c>
      <c r="F1471">
        <f>IF(ISBLANK(A1471), "", (B1471 * XLOOKUP(C1471, 'Fees &amp; Postage Table'!A:A, 'Fees &amp; Postage Table'!C:C, 0)) + XLOOKUP(C1471, 'Fees &amp; Postage Table'!A:A, 'Fees &amp; Postage Table'!B:B, 0))</f>
        <v/>
      </c>
      <c r="G1471">
        <f>IF(ISBLANK(A1471), "", XLOOKUP(C1471, 'Fees &amp; Postage Table'!A:A, 'Fees &amp; Postage Table'!D:D, 0))</f>
        <v/>
      </c>
      <c r="H1471">
        <f>IF(ISBLANK(A1471), "", B1471 - E1471 - F1471 - G1471)</f>
        <v/>
      </c>
      <c r="I1471">
        <f>IF(ISBLANK(A1471), "", D1471 - XLOOKUP(A1471, Inventory!A:A, Inventory!H:H, TODAY()))</f>
        <v/>
      </c>
    </row>
    <row r="1472">
      <c r="E1472">
        <f>IF(ISBLANK(A1472), "", XLOOKUP(A1472, Inventory!A:A, Inventory!E:E, 0))</f>
        <v/>
      </c>
      <c r="F1472">
        <f>IF(ISBLANK(A1472), "", (B1472 * XLOOKUP(C1472, 'Fees &amp; Postage Table'!A:A, 'Fees &amp; Postage Table'!C:C, 0)) + XLOOKUP(C1472, 'Fees &amp; Postage Table'!A:A, 'Fees &amp; Postage Table'!B:B, 0))</f>
        <v/>
      </c>
      <c r="G1472">
        <f>IF(ISBLANK(A1472), "", XLOOKUP(C1472, 'Fees &amp; Postage Table'!A:A, 'Fees &amp; Postage Table'!D:D, 0))</f>
        <v/>
      </c>
      <c r="H1472">
        <f>IF(ISBLANK(A1472), "", B1472 - E1472 - F1472 - G1472)</f>
        <v/>
      </c>
      <c r="I1472">
        <f>IF(ISBLANK(A1472), "", D1472 - XLOOKUP(A1472, Inventory!A:A, Inventory!H:H, TODAY()))</f>
        <v/>
      </c>
    </row>
    <row r="1473">
      <c r="E1473">
        <f>IF(ISBLANK(A1473), "", XLOOKUP(A1473, Inventory!A:A, Inventory!E:E, 0))</f>
        <v/>
      </c>
      <c r="F1473">
        <f>IF(ISBLANK(A1473), "", (B1473 * XLOOKUP(C1473, 'Fees &amp; Postage Table'!A:A, 'Fees &amp; Postage Table'!C:C, 0)) + XLOOKUP(C1473, 'Fees &amp; Postage Table'!A:A, 'Fees &amp; Postage Table'!B:B, 0))</f>
        <v/>
      </c>
      <c r="G1473">
        <f>IF(ISBLANK(A1473), "", XLOOKUP(C1473, 'Fees &amp; Postage Table'!A:A, 'Fees &amp; Postage Table'!D:D, 0))</f>
        <v/>
      </c>
      <c r="H1473">
        <f>IF(ISBLANK(A1473), "", B1473 - E1473 - F1473 - G1473)</f>
        <v/>
      </c>
      <c r="I1473">
        <f>IF(ISBLANK(A1473), "", D1473 - XLOOKUP(A1473, Inventory!A:A, Inventory!H:H, TODAY()))</f>
        <v/>
      </c>
    </row>
    <row r="1474">
      <c r="E1474">
        <f>IF(ISBLANK(A1474), "", XLOOKUP(A1474, Inventory!A:A, Inventory!E:E, 0))</f>
        <v/>
      </c>
      <c r="F1474">
        <f>IF(ISBLANK(A1474), "", (B1474 * XLOOKUP(C1474, 'Fees &amp; Postage Table'!A:A, 'Fees &amp; Postage Table'!C:C, 0)) + XLOOKUP(C1474, 'Fees &amp; Postage Table'!A:A, 'Fees &amp; Postage Table'!B:B, 0))</f>
        <v/>
      </c>
      <c r="G1474">
        <f>IF(ISBLANK(A1474), "", XLOOKUP(C1474, 'Fees &amp; Postage Table'!A:A, 'Fees &amp; Postage Table'!D:D, 0))</f>
        <v/>
      </c>
      <c r="H1474">
        <f>IF(ISBLANK(A1474), "", B1474 - E1474 - F1474 - G1474)</f>
        <v/>
      </c>
      <c r="I1474">
        <f>IF(ISBLANK(A1474), "", D1474 - XLOOKUP(A1474, Inventory!A:A, Inventory!H:H, TODAY()))</f>
        <v/>
      </c>
    </row>
    <row r="1475">
      <c r="E1475">
        <f>IF(ISBLANK(A1475), "", XLOOKUP(A1475, Inventory!A:A, Inventory!E:E, 0))</f>
        <v/>
      </c>
      <c r="F1475">
        <f>IF(ISBLANK(A1475), "", (B1475 * XLOOKUP(C1475, 'Fees &amp; Postage Table'!A:A, 'Fees &amp; Postage Table'!C:C, 0)) + XLOOKUP(C1475, 'Fees &amp; Postage Table'!A:A, 'Fees &amp; Postage Table'!B:B, 0))</f>
        <v/>
      </c>
      <c r="G1475">
        <f>IF(ISBLANK(A1475), "", XLOOKUP(C1475, 'Fees &amp; Postage Table'!A:A, 'Fees &amp; Postage Table'!D:D, 0))</f>
        <v/>
      </c>
      <c r="H1475">
        <f>IF(ISBLANK(A1475), "", B1475 - E1475 - F1475 - G1475)</f>
        <v/>
      </c>
      <c r="I1475">
        <f>IF(ISBLANK(A1475), "", D1475 - XLOOKUP(A1475, Inventory!A:A, Inventory!H:H, TODAY()))</f>
        <v/>
      </c>
    </row>
    <row r="1476">
      <c r="E1476">
        <f>IF(ISBLANK(A1476), "", XLOOKUP(A1476, Inventory!A:A, Inventory!E:E, 0))</f>
        <v/>
      </c>
      <c r="F1476">
        <f>IF(ISBLANK(A1476), "", (B1476 * XLOOKUP(C1476, 'Fees &amp; Postage Table'!A:A, 'Fees &amp; Postage Table'!C:C, 0)) + XLOOKUP(C1476, 'Fees &amp; Postage Table'!A:A, 'Fees &amp; Postage Table'!B:B, 0))</f>
        <v/>
      </c>
      <c r="G1476">
        <f>IF(ISBLANK(A1476), "", XLOOKUP(C1476, 'Fees &amp; Postage Table'!A:A, 'Fees &amp; Postage Table'!D:D, 0))</f>
        <v/>
      </c>
      <c r="H1476">
        <f>IF(ISBLANK(A1476), "", B1476 - E1476 - F1476 - G1476)</f>
        <v/>
      </c>
      <c r="I1476">
        <f>IF(ISBLANK(A1476), "", D1476 - XLOOKUP(A1476, Inventory!A:A, Inventory!H:H, TODAY()))</f>
        <v/>
      </c>
    </row>
    <row r="1477">
      <c r="E1477">
        <f>IF(ISBLANK(A1477), "", XLOOKUP(A1477, Inventory!A:A, Inventory!E:E, 0))</f>
        <v/>
      </c>
      <c r="F1477">
        <f>IF(ISBLANK(A1477), "", (B1477 * XLOOKUP(C1477, 'Fees &amp; Postage Table'!A:A, 'Fees &amp; Postage Table'!C:C, 0)) + XLOOKUP(C1477, 'Fees &amp; Postage Table'!A:A, 'Fees &amp; Postage Table'!B:B, 0))</f>
        <v/>
      </c>
      <c r="G1477">
        <f>IF(ISBLANK(A1477), "", XLOOKUP(C1477, 'Fees &amp; Postage Table'!A:A, 'Fees &amp; Postage Table'!D:D, 0))</f>
        <v/>
      </c>
      <c r="H1477">
        <f>IF(ISBLANK(A1477), "", B1477 - E1477 - F1477 - G1477)</f>
        <v/>
      </c>
      <c r="I1477">
        <f>IF(ISBLANK(A1477), "", D1477 - XLOOKUP(A1477, Inventory!A:A, Inventory!H:H, TODAY()))</f>
        <v/>
      </c>
    </row>
    <row r="1478">
      <c r="E1478">
        <f>IF(ISBLANK(A1478), "", XLOOKUP(A1478, Inventory!A:A, Inventory!E:E, 0))</f>
        <v/>
      </c>
      <c r="F1478">
        <f>IF(ISBLANK(A1478), "", (B1478 * XLOOKUP(C1478, 'Fees &amp; Postage Table'!A:A, 'Fees &amp; Postage Table'!C:C, 0)) + XLOOKUP(C1478, 'Fees &amp; Postage Table'!A:A, 'Fees &amp; Postage Table'!B:B, 0))</f>
        <v/>
      </c>
      <c r="G1478">
        <f>IF(ISBLANK(A1478), "", XLOOKUP(C1478, 'Fees &amp; Postage Table'!A:A, 'Fees &amp; Postage Table'!D:D, 0))</f>
        <v/>
      </c>
      <c r="H1478">
        <f>IF(ISBLANK(A1478), "", B1478 - E1478 - F1478 - G1478)</f>
        <v/>
      </c>
      <c r="I1478">
        <f>IF(ISBLANK(A1478), "", D1478 - XLOOKUP(A1478, Inventory!A:A, Inventory!H:H, TODAY()))</f>
        <v/>
      </c>
    </row>
    <row r="1479">
      <c r="E1479">
        <f>IF(ISBLANK(A1479), "", XLOOKUP(A1479, Inventory!A:A, Inventory!E:E, 0))</f>
        <v/>
      </c>
      <c r="F1479">
        <f>IF(ISBLANK(A1479), "", (B1479 * XLOOKUP(C1479, 'Fees &amp; Postage Table'!A:A, 'Fees &amp; Postage Table'!C:C, 0)) + XLOOKUP(C1479, 'Fees &amp; Postage Table'!A:A, 'Fees &amp; Postage Table'!B:B, 0))</f>
        <v/>
      </c>
      <c r="G1479">
        <f>IF(ISBLANK(A1479), "", XLOOKUP(C1479, 'Fees &amp; Postage Table'!A:A, 'Fees &amp; Postage Table'!D:D, 0))</f>
        <v/>
      </c>
      <c r="H1479">
        <f>IF(ISBLANK(A1479), "", B1479 - E1479 - F1479 - G1479)</f>
        <v/>
      </c>
      <c r="I1479">
        <f>IF(ISBLANK(A1479), "", D1479 - XLOOKUP(A1479, Inventory!A:A, Inventory!H:H, TODAY()))</f>
        <v/>
      </c>
    </row>
    <row r="1480">
      <c r="E1480">
        <f>IF(ISBLANK(A1480), "", XLOOKUP(A1480, Inventory!A:A, Inventory!E:E, 0))</f>
        <v/>
      </c>
      <c r="F1480">
        <f>IF(ISBLANK(A1480), "", (B1480 * XLOOKUP(C1480, 'Fees &amp; Postage Table'!A:A, 'Fees &amp; Postage Table'!C:C, 0)) + XLOOKUP(C1480, 'Fees &amp; Postage Table'!A:A, 'Fees &amp; Postage Table'!B:B, 0))</f>
        <v/>
      </c>
      <c r="G1480">
        <f>IF(ISBLANK(A1480), "", XLOOKUP(C1480, 'Fees &amp; Postage Table'!A:A, 'Fees &amp; Postage Table'!D:D, 0))</f>
        <v/>
      </c>
      <c r="H1480">
        <f>IF(ISBLANK(A1480), "", B1480 - E1480 - F1480 - G1480)</f>
        <v/>
      </c>
      <c r="I1480">
        <f>IF(ISBLANK(A1480), "", D1480 - XLOOKUP(A1480, Inventory!A:A, Inventory!H:H, TODAY()))</f>
        <v/>
      </c>
    </row>
    <row r="1481">
      <c r="E1481">
        <f>IF(ISBLANK(A1481), "", XLOOKUP(A1481, Inventory!A:A, Inventory!E:E, 0))</f>
        <v/>
      </c>
      <c r="F1481">
        <f>IF(ISBLANK(A1481), "", (B1481 * XLOOKUP(C1481, 'Fees &amp; Postage Table'!A:A, 'Fees &amp; Postage Table'!C:C, 0)) + XLOOKUP(C1481, 'Fees &amp; Postage Table'!A:A, 'Fees &amp; Postage Table'!B:B, 0))</f>
        <v/>
      </c>
      <c r="G1481">
        <f>IF(ISBLANK(A1481), "", XLOOKUP(C1481, 'Fees &amp; Postage Table'!A:A, 'Fees &amp; Postage Table'!D:D, 0))</f>
        <v/>
      </c>
      <c r="H1481">
        <f>IF(ISBLANK(A1481), "", B1481 - E1481 - F1481 - G1481)</f>
        <v/>
      </c>
      <c r="I1481">
        <f>IF(ISBLANK(A1481), "", D1481 - XLOOKUP(A1481, Inventory!A:A, Inventory!H:H, TODAY()))</f>
        <v/>
      </c>
    </row>
    <row r="1482">
      <c r="E1482">
        <f>IF(ISBLANK(A1482), "", XLOOKUP(A1482, Inventory!A:A, Inventory!E:E, 0))</f>
        <v/>
      </c>
      <c r="F1482">
        <f>IF(ISBLANK(A1482), "", (B1482 * XLOOKUP(C1482, 'Fees &amp; Postage Table'!A:A, 'Fees &amp; Postage Table'!C:C, 0)) + XLOOKUP(C1482, 'Fees &amp; Postage Table'!A:A, 'Fees &amp; Postage Table'!B:B, 0))</f>
        <v/>
      </c>
      <c r="G1482">
        <f>IF(ISBLANK(A1482), "", XLOOKUP(C1482, 'Fees &amp; Postage Table'!A:A, 'Fees &amp; Postage Table'!D:D, 0))</f>
        <v/>
      </c>
      <c r="H1482">
        <f>IF(ISBLANK(A1482), "", B1482 - E1482 - F1482 - G1482)</f>
        <v/>
      </c>
      <c r="I1482">
        <f>IF(ISBLANK(A1482), "", D1482 - XLOOKUP(A1482, Inventory!A:A, Inventory!H:H, TODAY()))</f>
        <v/>
      </c>
    </row>
    <row r="1483">
      <c r="E1483">
        <f>IF(ISBLANK(A1483), "", XLOOKUP(A1483, Inventory!A:A, Inventory!E:E, 0))</f>
        <v/>
      </c>
      <c r="F1483">
        <f>IF(ISBLANK(A1483), "", (B1483 * XLOOKUP(C1483, 'Fees &amp; Postage Table'!A:A, 'Fees &amp; Postage Table'!C:C, 0)) + XLOOKUP(C1483, 'Fees &amp; Postage Table'!A:A, 'Fees &amp; Postage Table'!B:B, 0))</f>
        <v/>
      </c>
      <c r="G1483">
        <f>IF(ISBLANK(A1483), "", XLOOKUP(C1483, 'Fees &amp; Postage Table'!A:A, 'Fees &amp; Postage Table'!D:D, 0))</f>
        <v/>
      </c>
      <c r="H1483">
        <f>IF(ISBLANK(A1483), "", B1483 - E1483 - F1483 - G1483)</f>
        <v/>
      </c>
      <c r="I1483">
        <f>IF(ISBLANK(A1483), "", D1483 - XLOOKUP(A1483, Inventory!A:A, Inventory!H:H, TODAY()))</f>
        <v/>
      </c>
    </row>
    <row r="1484">
      <c r="E1484">
        <f>IF(ISBLANK(A1484), "", XLOOKUP(A1484, Inventory!A:A, Inventory!E:E, 0))</f>
        <v/>
      </c>
      <c r="F1484">
        <f>IF(ISBLANK(A1484), "", (B1484 * XLOOKUP(C1484, 'Fees &amp; Postage Table'!A:A, 'Fees &amp; Postage Table'!C:C, 0)) + XLOOKUP(C1484, 'Fees &amp; Postage Table'!A:A, 'Fees &amp; Postage Table'!B:B, 0))</f>
        <v/>
      </c>
      <c r="G1484">
        <f>IF(ISBLANK(A1484), "", XLOOKUP(C1484, 'Fees &amp; Postage Table'!A:A, 'Fees &amp; Postage Table'!D:D, 0))</f>
        <v/>
      </c>
      <c r="H1484">
        <f>IF(ISBLANK(A1484), "", B1484 - E1484 - F1484 - G1484)</f>
        <v/>
      </c>
      <c r="I1484">
        <f>IF(ISBLANK(A1484), "", D1484 - XLOOKUP(A1484, Inventory!A:A, Inventory!H:H, TODAY()))</f>
        <v/>
      </c>
    </row>
    <row r="1485">
      <c r="E1485">
        <f>IF(ISBLANK(A1485), "", XLOOKUP(A1485, Inventory!A:A, Inventory!E:E, 0))</f>
        <v/>
      </c>
      <c r="F1485">
        <f>IF(ISBLANK(A1485), "", (B1485 * XLOOKUP(C1485, 'Fees &amp; Postage Table'!A:A, 'Fees &amp; Postage Table'!C:C, 0)) + XLOOKUP(C1485, 'Fees &amp; Postage Table'!A:A, 'Fees &amp; Postage Table'!B:B, 0))</f>
        <v/>
      </c>
      <c r="G1485">
        <f>IF(ISBLANK(A1485), "", XLOOKUP(C1485, 'Fees &amp; Postage Table'!A:A, 'Fees &amp; Postage Table'!D:D, 0))</f>
        <v/>
      </c>
      <c r="H1485">
        <f>IF(ISBLANK(A1485), "", B1485 - E1485 - F1485 - G1485)</f>
        <v/>
      </c>
      <c r="I1485">
        <f>IF(ISBLANK(A1485), "", D1485 - XLOOKUP(A1485, Inventory!A:A, Inventory!H:H, TODAY()))</f>
        <v/>
      </c>
    </row>
    <row r="1486">
      <c r="E1486">
        <f>IF(ISBLANK(A1486), "", XLOOKUP(A1486, Inventory!A:A, Inventory!E:E, 0))</f>
        <v/>
      </c>
      <c r="F1486">
        <f>IF(ISBLANK(A1486), "", (B1486 * XLOOKUP(C1486, 'Fees &amp; Postage Table'!A:A, 'Fees &amp; Postage Table'!C:C, 0)) + XLOOKUP(C1486, 'Fees &amp; Postage Table'!A:A, 'Fees &amp; Postage Table'!B:B, 0))</f>
        <v/>
      </c>
      <c r="G1486">
        <f>IF(ISBLANK(A1486), "", XLOOKUP(C1486, 'Fees &amp; Postage Table'!A:A, 'Fees &amp; Postage Table'!D:D, 0))</f>
        <v/>
      </c>
      <c r="H1486">
        <f>IF(ISBLANK(A1486), "", B1486 - E1486 - F1486 - G1486)</f>
        <v/>
      </c>
      <c r="I1486">
        <f>IF(ISBLANK(A1486), "", D1486 - XLOOKUP(A1486, Inventory!A:A, Inventory!H:H, TODAY()))</f>
        <v/>
      </c>
    </row>
    <row r="1487">
      <c r="E1487">
        <f>IF(ISBLANK(A1487), "", XLOOKUP(A1487, Inventory!A:A, Inventory!E:E, 0))</f>
        <v/>
      </c>
      <c r="F1487">
        <f>IF(ISBLANK(A1487), "", (B1487 * XLOOKUP(C1487, 'Fees &amp; Postage Table'!A:A, 'Fees &amp; Postage Table'!C:C, 0)) + XLOOKUP(C1487, 'Fees &amp; Postage Table'!A:A, 'Fees &amp; Postage Table'!B:B, 0))</f>
        <v/>
      </c>
      <c r="G1487">
        <f>IF(ISBLANK(A1487), "", XLOOKUP(C1487, 'Fees &amp; Postage Table'!A:A, 'Fees &amp; Postage Table'!D:D, 0))</f>
        <v/>
      </c>
      <c r="H1487">
        <f>IF(ISBLANK(A1487), "", B1487 - E1487 - F1487 - G1487)</f>
        <v/>
      </c>
      <c r="I1487">
        <f>IF(ISBLANK(A1487), "", D1487 - XLOOKUP(A1487, Inventory!A:A, Inventory!H:H, TODAY()))</f>
        <v/>
      </c>
    </row>
    <row r="1488">
      <c r="E1488">
        <f>IF(ISBLANK(A1488), "", XLOOKUP(A1488, Inventory!A:A, Inventory!E:E, 0))</f>
        <v/>
      </c>
      <c r="F1488">
        <f>IF(ISBLANK(A1488), "", (B1488 * XLOOKUP(C1488, 'Fees &amp; Postage Table'!A:A, 'Fees &amp; Postage Table'!C:C, 0)) + XLOOKUP(C1488, 'Fees &amp; Postage Table'!A:A, 'Fees &amp; Postage Table'!B:B, 0))</f>
        <v/>
      </c>
      <c r="G1488">
        <f>IF(ISBLANK(A1488), "", XLOOKUP(C1488, 'Fees &amp; Postage Table'!A:A, 'Fees &amp; Postage Table'!D:D, 0))</f>
        <v/>
      </c>
      <c r="H1488">
        <f>IF(ISBLANK(A1488), "", B1488 - E1488 - F1488 - G1488)</f>
        <v/>
      </c>
      <c r="I1488">
        <f>IF(ISBLANK(A1488), "", D1488 - XLOOKUP(A1488, Inventory!A:A, Inventory!H:H, TODAY()))</f>
        <v/>
      </c>
    </row>
    <row r="1489">
      <c r="E1489">
        <f>IF(ISBLANK(A1489), "", XLOOKUP(A1489, Inventory!A:A, Inventory!E:E, 0))</f>
        <v/>
      </c>
      <c r="F1489">
        <f>IF(ISBLANK(A1489), "", (B1489 * XLOOKUP(C1489, 'Fees &amp; Postage Table'!A:A, 'Fees &amp; Postage Table'!C:C, 0)) + XLOOKUP(C1489, 'Fees &amp; Postage Table'!A:A, 'Fees &amp; Postage Table'!B:B, 0))</f>
        <v/>
      </c>
      <c r="G1489">
        <f>IF(ISBLANK(A1489), "", XLOOKUP(C1489, 'Fees &amp; Postage Table'!A:A, 'Fees &amp; Postage Table'!D:D, 0))</f>
        <v/>
      </c>
      <c r="H1489">
        <f>IF(ISBLANK(A1489), "", B1489 - E1489 - F1489 - G1489)</f>
        <v/>
      </c>
      <c r="I1489">
        <f>IF(ISBLANK(A1489), "", D1489 - XLOOKUP(A1489, Inventory!A:A, Inventory!H:H, TODAY()))</f>
        <v/>
      </c>
    </row>
    <row r="1490">
      <c r="E1490">
        <f>IF(ISBLANK(A1490), "", XLOOKUP(A1490, Inventory!A:A, Inventory!E:E, 0))</f>
        <v/>
      </c>
      <c r="F1490">
        <f>IF(ISBLANK(A1490), "", (B1490 * XLOOKUP(C1490, 'Fees &amp; Postage Table'!A:A, 'Fees &amp; Postage Table'!C:C, 0)) + XLOOKUP(C1490, 'Fees &amp; Postage Table'!A:A, 'Fees &amp; Postage Table'!B:B, 0))</f>
        <v/>
      </c>
      <c r="G1490">
        <f>IF(ISBLANK(A1490), "", XLOOKUP(C1490, 'Fees &amp; Postage Table'!A:A, 'Fees &amp; Postage Table'!D:D, 0))</f>
        <v/>
      </c>
      <c r="H1490">
        <f>IF(ISBLANK(A1490), "", B1490 - E1490 - F1490 - G1490)</f>
        <v/>
      </c>
      <c r="I1490">
        <f>IF(ISBLANK(A1490), "", D1490 - XLOOKUP(A1490, Inventory!A:A, Inventory!H:H, TODAY()))</f>
        <v/>
      </c>
    </row>
    <row r="1491">
      <c r="E1491">
        <f>IF(ISBLANK(A1491), "", XLOOKUP(A1491, Inventory!A:A, Inventory!E:E, 0))</f>
        <v/>
      </c>
      <c r="F1491">
        <f>IF(ISBLANK(A1491), "", (B1491 * XLOOKUP(C1491, 'Fees &amp; Postage Table'!A:A, 'Fees &amp; Postage Table'!C:C, 0)) + XLOOKUP(C1491, 'Fees &amp; Postage Table'!A:A, 'Fees &amp; Postage Table'!B:B, 0))</f>
        <v/>
      </c>
      <c r="G1491">
        <f>IF(ISBLANK(A1491), "", XLOOKUP(C1491, 'Fees &amp; Postage Table'!A:A, 'Fees &amp; Postage Table'!D:D, 0))</f>
        <v/>
      </c>
      <c r="H1491">
        <f>IF(ISBLANK(A1491), "", B1491 - E1491 - F1491 - G1491)</f>
        <v/>
      </c>
      <c r="I1491">
        <f>IF(ISBLANK(A1491), "", D1491 - XLOOKUP(A1491, Inventory!A:A, Inventory!H:H, TODAY()))</f>
        <v/>
      </c>
    </row>
    <row r="1492">
      <c r="E1492">
        <f>IF(ISBLANK(A1492), "", XLOOKUP(A1492, Inventory!A:A, Inventory!E:E, 0))</f>
        <v/>
      </c>
      <c r="F1492">
        <f>IF(ISBLANK(A1492), "", (B1492 * XLOOKUP(C1492, 'Fees &amp; Postage Table'!A:A, 'Fees &amp; Postage Table'!C:C, 0)) + XLOOKUP(C1492, 'Fees &amp; Postage Table'!A:A, 'Fees &amp; Postage Table'!B:B, 0))</f>
        <v/>
      </c>
      <c r="G1492">
        <f>IF(ISBLANK(A1492), "", XLOOKUP(C1492, 'Fees &amp; Postage Table'!A:A, 'Fees &amp; Postage Table'!D:D, 0))</f>
        <v/>
      </c>
      <c r="H1492">
        <f>IF(ISBLANK(A1492), "", B1492 - E1492 - F1492 - G1492)</f>
        <v/>
      </c>
      <c r="I1492">
        <f>IF(ISBLANK(A1492), "", D1492 - XLOOKUP(A1492, Inventory!A:A, Inventory!H:H, TODAY()))</f>
        <v/>
      </c>
    </row>
    <row r="1493">
      <c r="E1493">
        <f>IF(ISBLANK(A1493), "", XLOOKUP(A1493, Inventory!A:A, Inventory!E:E, 0))</f>
        <v/>
      </c>
      <c r="F1493">
        <f>IF(ISBLANK(A1493), "", (B1493 * XLOOKUP(C1493, 'Fees &amp; Postage Table'!A:A, 'Fees &amp; Postage Table'!C:C, 0)) + XLOOKUP(C1493, 'Fees &amp; Postage Table'!A:A, 'Fees &amp; Postage Table'!B:B, 0))</f>
        <v/>
      </c>
      <c r="G1493">
        <f>IF(ISBLANK(A1493), "", XLOOKUP(C1493, 'Fees &amp; Postage Table'!A:A, 'Fees &amp; Postage Table'!D:D, 0))</f>
        <v/>
      </c>
      <c r="H1493">
        <f>IF(ISBLANK(A1493), "", B1493 - E1493 - F1493 - G1493)</f>
        <v/>
      </c>
      <c r="I1493">
        <f>IF(ISBLANK(A1493), "", D1493 - XLOOKUP(A1493, Inventory!A:A, Inventory!H:H, TODAY()))</f>
        <v/>
      </c>
    </row>
    <row r="1494">
      <c r="E1494">
        <f>IF(ISBLANK(A1494), "", XLOOKUP(A1494, Inventory!A:A, Inventory!E:E, 0))</f>
        <v/>
      </c>
      <c r="F1494">
        <f>IF(ISBLANK(A1494), "", (B1494 * XLOOKUP(C1494, 'Fees &amp; Postage Table'!A:A, 'Fees &amp; Postage Table'!C:C, 0)) + XLOOKUP(C1494, 'Fees &amp; Postage Table'!A:A, 'Fees &amp; Postage Table'!B:B, 0))</f>
        <v/>
      </c>
      <c r="G1494">
        <f>IF(ISBLANK(A1494), "", XLOOKUP(C1494, 'Fees &amp; Postage Table'!A:A, 'Fees &amp; Postage Table'!D:D, 0))</f>
        <v/>
      </c>
      <c r="H1494">
        <f>IF(ISBLANK(A1494), "", B1494 - E1494 - F1494 - G1494)</f>
        <v/>
      </c>
      <c r="I1494">
        <f>IF(ISBLANK(A1494), "", D1494 - XLOOKUP(A1494, Inventory!A:A, Inventory!H:H, TODAY()))</f>
        <v/>
      </c>
    </row>
    <row r="1495">
      <c r="E1495">
        <f>IF(ISBLANK(A1495), "", XLOOKUP(A1495, Inventory!A:A, Inventory!E:E, 0))</f>
        <v/>
      </c>
      <c r="F1495">
        <f>IF(ISBLANK(A1495), "", (B1495 * XLOOKUP(C1495, 'Fees &amp; Postage Table'!A:A, 'Fees &amp; Postage Table'!C:C, 0)) + XLOOKUP(C1495, 'Fees &amp; Postage Table'!A:A, 'Fees &amp; Postage Table'!B:B, 0))</f>
        <v/>
      </c>
      <c r="G1495">
        <f>IF(ISBLANK(A1495), "", XLOOKUP(C1495, 'Fees &amp; Postage Table'!A:A, 'Fees &amp; Postage Table'!D:D, 0))</f>
        <v/>
      </c>
      <c r="H1495">
        <f>IF(ISBLANK(A1495), "", B1495 - E1495 - F1495 - G1495)</f>
        <v/>
      </c>
      <c r="I1495">
        <f>IF(ISBLANK(A1495), "", D1495 - XLOOKUP(A1495, Inventory!A:A, Inventory!H:H, TODAY()))</f>
        <v/>
      </c>
    </row>
    <row r="1496">
      <c r="E1496">
        <f>IF(ISBLANK(A1496), "", XLOOKUP(A1496, Inventory!A:A, Inventory!E:E, 0))</f>
        <v/>
      </c>
      <c r="F1496">
        <f>IF(ISBLANK(A1496), "", (B1496 * XLOOKUP(C1496, 'Fees &amp; Postage Table'!A:A, 'Fees &amp; Postage Table'!C:C, 0)) + XLOOKUP(C1496, 'Fees &amp; Postage Table'!A:A, 'Fees &amp; Postage Table'!B:B, 0))</f>
        <v/>
      </c>
      <c r="G1496">
        <f>IF(ISBLANK(A1496), "", XLOOKUP(C1496, 'Fees &amp; Postage Table'!A:A, 'Fees &amp; Postage Table'!D:D, 0))</f>
        <v/>
      </c>
      <c r="H1496">
        <f>IF(ISBLANK(A1496), "", B1496 - E1496 - F1496 - G1496)</f>
        <v/>
      </c>
      <c r="I1496">
        <f>IF(ISBLANK(A1496), "", D1496 - XLOOKUP(A1496, Inventory!A:A, Inventory!H:H, TODAY()))</f>
        <v/>
      </c>
    </row>
    <row r="1497">
      <c r="E1497">
        <f>IF(ISBLANK(A1497), "", XLOOKUP(A1497, Inventory!A:A, Inventory!E:E, 0))</f>
        <v/>
      </c>
      <c r="F1497">
        <f>IF(ISBLANK(A1497), "", (B1497 * XLOOKUP(C1497, 'Fees &amp; Postage Table'!A:A, 'Fees &amp; Postage Table'!C:C, 0)) + XLOOKUP(C1497, 'Fees &amp; Postage Table'!A:A, 'Fees &amp; Postage Table'!B:B, 0))</f>
        <v/>
      </c>
      <c r="G1497">
        <f>IF(ISBLANK(A1497), "", XLOOKUP(C1497, 'Fees &amp; Postage Table'!A:A, 'Fees &amp; Postage Table'!D:D, 0))</f>
        <v/>
      </c>
      <c r="H1497">
        <f>IF(ISBLANK(A1497), "", B1497 - E1497 - F1497 - G1497)</f>
        <v/>
      </c>
      <c r="I1497">
        <f>IF(ISBLANK(A1497), "", D1497 - XLOOKUP(A1497, Inventory!A:A, Inventory!H:H, TODAY()))</f>
        <v/>
      </c>
    </row>
    <row r="1498">
      <c r="E1498">
        <f>IF(ISBLANK(A1498), "", XLOOKUP(A1498, Inventory!A:A, Inventory!E:E, 0))</f>
        <v/>
      </c>
      <c r="F1498">
        <f>IF(ISBLANK(A1498), "", (B1498 * XLOOKUP(C1498, 'Fees &amp; Postage Table'!A:A, 'Fees &amp; Postage Table'!C:C, 0)) + XLOOKUP(C1498, 'Fees &amp; Postage Table'!A:A, 'Fees &amp; Postage Table'!B:B, 0))</f>
        <v/>
      </c>
      <c r="G1498">
        <f>IF(ISBLANK(A1498), "", XLOOKUP(C1498, 'Fees &amp; Postage Table'!A:A, 'Fees &amp; Postage Table'!D:D, 0))</f>
        <v/>
      </c>
      <c r="H1498">
        <f>IF(ISBLANK(A1498), "", B1498 - E1498 - F1498 - G1498)</f>
        <v/>
      </c>
      <c r="I1498">
        <f>IF(ISBLANK(A1498), "", D1498 - XLOOKUP(A1498, Inventory!A:A, Inventory!H:H, TODAY()))</f>
        <v/>
      </c>
    </row>
    <row r="1499">
      <c r="E1499">
        <f>IF(ISBLANK(A1499), "", XLOOKUP(A1499, Inventory!A:A, Inventory!E:E, 0))</f>
        <v/>
      </c>
      <c r="F1499">
        <f>IF(ISBLANK(A1499), "", (B1499 * XLOOKUP(C1499, 'Fees &amp; Postage Table'!A:A, 'Fees &amp; Postage Table'!C:C, 0)) + XLOOKUP(C1499, 'Fees &amp; Postage Table'!A:A, 'Fees &amp; Postage Table'!B:B, 0))</f>
        <v/>
      </c>
      <c r="G1499">
        <f>IF(ISBLANK(A1499), "", XLOOKUP(C1499, 'Fees &amp; Postage Table'!A:A, 'Fees &amp; Postage Table'!D:D, 0))</f>
        <v/>
      </c>
      <c r="H1499">
        <f>IF(ISBLANK(A1499), "", B1499 - E1499 - F1499 - G1499)</f>
        <v/>
      </c>
      <c r="I1499">
        <f>IF(ISBLANK(A1499), "", D1499 - XLOOKUP(A1499, Inventory!A:A, Inventory!H:H, TODAY()))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26" customHeight="1">
      <c r="A1" s="5" t="inlineStr">
        <is>
          <t>Platform</t>
        </is>
      </c>
      <c r="B1" s="5" t="inlineStr">
        <is>
          <t>Fixed Fee</t>
        </is>
      </c>
      <c r="C1" s="5" t="inlineStr">
        <is>
          <t>Variable Rate</t>
        </is>
      </c>
      <c r="D1" s="5" t="inlineStr">
        <is>
          <t>Avg Postage</t>
        </is>
      </c>
    </row>
    <row r="2">
      <c r="A2" t="inlineStr">
        <is>
          <t>eBay</t>
        </is>
      </c>
      <c r="B2" t="n">
        <v>0.3</v>
      </c>
      <c r="C2" t="n">
        <v>0.128</v>
      </c>
      <c r="D2" t="n">
        <v>4.5</v>
      </c>
    </row>
    <row r="3">
      <c r="A3" t="inlineStr">
        <is>
          <t>Vinted</t>
        </is>
      </c>
      <c r="B3" t="n">
        <v>0</v>
      </c>
      <c r="C3" t="n">
        <v>0</v>
      </c>
      <c r="D3" t="n">
        <v>0</v>
      </c>
    </row>
    <row r="4">
      <c r="A4" t="inlineStr">
        <is>
          <t>Depop</t>
        </is>
      </c>
      <c r="B4" t="n">
        <v>0</v>
      </c>
      <c r="C4" t="n">
        <v>0.1</v>
      </c>
      <c r="D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2" customWidth="1" min="1" max="1"/>
    <col width="45" customWidth="1" min="2" max="2"/>
    <col width="92" customWidth="1" min="3" max="3"/>
    <col width="27" customWidth="1" min="4" max="4"/>
  </cols>
  <sheetData>
    <row r="1" ht="26" customHeight="1">
      <c r="A1" s="5" t="inlineStr">
        <is>
          <t>Supplier</t>
        </is>
      </c>
      <c r="B1" s="5" t="inlineStr">
        <is>
          <t>Total Invested</t>
        </is>
      </c>
      <c r="C1" s="5" t="inlineStr">
        <is>
          <t>Total Returns</t>
        </is>
      </c>
      <c r="D1" s="5" t="inlineStr">
        <is>
          <t>Supplier ROI</t>
        </is>
      </c>
    </row>
    <row r="2">
      <c r="A2">
        <f>UNIQUE(FILTER(Inventory!F2:F2000, Inventory!F2:F2000&lt;&gt;""))</f>
        <v/>
      </c>
      <c r="B2">
        <f>SUMIFS(Inventory!E:E, Inventory!F:F, A2#)</f>
        <v/>
      </c>
      <c r="C2">
        <f>SUMIFS('Sales Log'!H:H, 'Sales Log'!A:A, XLOOKUP(A2#, Inventory!F:F, Inventory!A:A, ""))</f>
        <v/>
      </c>
      <c r="D2">
        <f>IF(B2#=0, 0, C2# / B2#)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37" customWidth="1" min="4" max="4"/>
  </cols>
  <sheetData>
    <row r="1" ht="26" customHeight="1">
      <c r="A1" s="5" t="inlineStr">
        <is>
          <t>Brand Initials</t>
        </is>
      </c>
      <c r="B1" s="5" t="inlineStr">
        <is>
          <t>Category Code</t>
        </is>
      </c>
      <c r="C1" s="5" t="inlineStr">
        <is>
          <t>Sequence</t>
        </is>
      </c>
      <c r="D1" s="5" t="inlineStr">
        <is>
          <t>Generated SKU</t>
        </is>
      </c>
    </row>
    <row r="2">
      <c r="A2" t="inlineStr">
        <is>
          <t>NK</t>
        </is>
      </c>
      <c r="B2" t="inlineStr">
        <is>
          <t>TSH</t>
        </is>
      </c>
      <c r="C2" t="n">
        <v>1001</v>
      </c>
      <c r="D2">
        <f>CONCATENATE(A2, "-", B2, "-", C2)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2" customWidth="1" min="1" max="1"/>
    <col width="49" customWidth="1" min="2" max="2"/>
    <col width="49" customWidth="1" min="3" max="3"/>
    <col width="34" customWidth="1" min="4" max="4"/>
  </cols>
  <sheetData>
    <row r="1" ht="26" customHeight="1">
      <c r="A1" s="5" t="inlineStr">
        <is>
          <t>Category</t>
        </is>
      </c>
      <c r="B1" s="5" t="inlineStr">
        <is>
          <t>Total Revenue</t>
        </is>
      </c>
      <c r="C1" s="5" t="inlineStr">
        <is>
          <t>Total Net Profit</t>
        </is>
      </c>
      <c r="D1" s="5" t="inlineStr">
        <is>
          <t>Items Sold</t>
        </is>
      </c>
    </row>
    <row r="2">
      <c r="A2">
        <f>UNIQUE(FILTER(Inventory!C2:C2000, Inventory!C2:C2000&lt;&gt;""))</f>
        <v/>
      </c>
      <c r="B2">
        <f>SUMIFS('Sales Log'!B:B, 'Sales Log'!A:A, A2#)</f>
        <v/>
      </c>
      <c r="C2">
        <f>SUMIFS('Sales Log'!H:H, 'Sales Log'!A:A, A2#)</f>
        <v/>
      </c>
      <c r="D2">
        <f>COUNTIFS('Sales Log'!A:A, A2#)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2" customWidth="1" min="1" max="1"/>
    <col width="32" customWidth="1" min="2" max="2"/>
    <col width="77" customWidth="1" min="3" max="3"/>
    <col width="27" customWidth="1" min="4" max="4"/>
  </cols>
  <sheetData>
    <row r="1" ht="26" customHeight="1">
      <c r="A1" s="5" t="inlineStr">
        <is>
          <t>Category</t>
        </is>
      </c>
      <c r="B1" s="5" t="inlineStr">
        <is>
          <t>Total Listed</t>
        </is>
      </c>
      <c r="C1" s="5" t="inlineStr">
        <is>
          <t>Total Sold</t>
        </is>
      </c>
      <c r="D1" s="5" t="inlineStr">
        <is>
          <t>Sell-Through Rate</t>
        </is>
      </c>
    </row>
    <row r="2">
      <c r="A2">
        <f>UNIQUE(FILTER(Inventory!C2:C2000, Inventory!C2:C2000&lt;&gt;""))</f>
        <v/>
      </c>
      <c r="B2">
        <f>COUNTIFS(Inventory!C:C, A2#)</f>
        <v/>
      </c>
      <c r="C2">
        <f>COUNTIFS('Sales Log'!A:A, XLOOKUP(A2#, Inventory!C:C, Inventory!A:A, ""))</f>
        <v/>
      </c>
      <c r="D2">
        <f>IF(B2#=0, 0, C2# / B2#)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2026-05-25T10:03:08Z</dcterms:created>
  <dcterms:modified xsi:type="dcterms:W3CDTF">2026-05-25T10:03:09Z</dcterms:modified>
</cp:coreProperties>
</file>